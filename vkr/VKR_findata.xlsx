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Данные_Юрент" sheetId="2" state="visible" r:id="rId2"/>
    <sheet xmlns:r="http://schemas.openxmlformats.org/officeDocument/2006/relationships" name="Затраты" sheetId="3" state="visible" r:id="rId3"/>
    <sheet xmlns:r="http://schemas.openxmlformats.org/officeDocument/2006/relationships" name="Эффекты" sheetId="4" state="visible" r:id="rId4"/>
    <sheet xmlns:r="http://schemas.openxmlformats.org/officeDocument/2006/relationships" name="УПС_расчёт" sheetId="5" state="visible" r:id="rId5"/>
    <sheet xmlns:r="http://schemas.openxmlformats.org/officeDocument/2006/relationships" name="Сводная_финмодель" sheetId="6" state="visible" r:id="rId6"/>
    <sheet xmlns:r="http://schemas.openxmlformats.org/officeDocument/2006/relationships" name="Чувствительност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+0.0;-0.0;0.0"/>
    <numFmt numFmtId="166" formatCode="0&quot; %&quot;"/>
    <numFmt numFmtId="167" formatCode="+#,##0.0;-#,##0.0;0.0"/>
  </numFmts>
  <fonts count="7">
    <font>
      <name val="Calibri"/>
      <family val="2"/>
      <color theme="1"/>
      <sz val="11"/>
      <scheme val="minor"/>
    </font>
    <font>
      <name val="Times New Roman"/>
      <b val="1"/>
      <sz val="16"/>
    </font>
    <font>
      <name val="Times New Roman"/>
      <sz val="11"/>
    </font>
    <font>
      <name val="Times New Roman"/>
      <b val="1"/>
      <sz val="14"/>
    </font>
    <font>
      <name val="Times New Roman"/>
      <b val="1"/>
      <color rgb="00FFFFFF"/>
      <sz val="12"/>
    </font>
    <font>
      <name val="Times New Roman"/>
      <b val="1"/>
      <sz val="11"/>
    </font>
    <font>
      <name val="Times New Roman"/>
      <b val="1"/>
      <sz val="13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9E2F3"/>
      </patternFill>
    </fill>
    <fill>
      <patternFill patternType="solid">
        <fgColor rgb="00FFC7CE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/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pivotButton="0" quotePrefix="0" xfId="0"/>
    <xf numFmtId="3" fontId="5" fillId="3" borderId="1" pivotButton="0" quotePrefix="0" xfId="0"/>
    <xf numFmtId="164" fontId="5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" fontId="5" fillId="3" borderId="1" pivotButton="0" quotePrefix="0" xfId="0"/>
    <xf numFmtId="0" fontId="2" fillId="0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/>
    </xf>
    <xf numFmtId="3" fontId="5" fillId="4" borderId="1" pivotButton="0" quotePrefix="0" xfId="0"/>
    <xf numFmtId="0" fontId="0" fillId="0" borderId="6" pivotButton="0" quotePrefix="0" xfId="0"/>
    <xf numFmtId="0" fontId="6" fillId="4" borderId="1" pivotButton="0" quotePrefix="0" xfId="0"/>
    <xf numFmtId="3" fontId="6" fillId="4" borderId="1" pivotButton="0" quotePrefix="0" xfId="0"/>
    <xf numFmtId="0" fontId="5" fillId="5" borderId="1" pivotButton="0" quotePrefix="0" xfId="0"/>
    <xf numFmtId="0" fontId="4" fillId="2" borderId="1" applyAlignment="1" pivotButton="0" quotePrefix="0" xfId="0">
      <alignment horizontal="center" wrapText="1"/>
    </xf>
    <xf numFmtId="166" fontId="2" fillId="0" borderId="1" pivotButton="0" quotePrefix="0" xfId="0"/>
    <xf numFmtId="0" fontId="4" fillId="2" borderId="1" applyAlignment="1" pivotButton="0" quotePrefix="0" xfId="0">
      <alignment horizontal="center"/>
    </xf>
    <xf numFmtId="0" fontId="6" fillId="5" borderId="1" pivotButton="0" quotePrefix="0" xfId="0"/>
    <xf numFmtId="167" fontId="5" fillId="6" borderId="1" pivotButton="0" quotePrefix="0" xfId="0"/>
    <xf numFmtId="167" fontId="5" fillId="4" borderId="1" pivotButton="0" quotePrefix="0" xfId="0"/>
    <xf numFmtId="167" fontId="5" fillId="3" borderId="1" pivotButton="0" quotePrefix="0" xfId="0"/>
    <xf numFmtId="0" fontId="6" fillId="3" borderId="1" pivotButton="0" quotePrefix="0" xfId="0"/>
    <xf numFmtId="167" fontId="6" fillId="3" borderId="1" pivotButton="0" quotePrefix="0" xfId="0"/>
    <xf numFmtId="164" fontId="2" fillId="0" borderId="1" pivotButton="0" quotePrefix="0" xfId="0"/>
    <xf numFmtId="0" fontId="2" fillId="5" borderId="1" pivotButton="0" quotePrefix="0" xfId="0"/>
    <xf numFmtId="165" fontId="2" fillId="0" borderId="1" pivotButton="0" quotePrefix="0" xfId="0"/>
    <xf numFmtId="165" fontId="5" fillId="3" borderId="1" pivotButton="0" quotePrefix="0" xfId="0"/>
    <xf numFmtId="165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Финансовая модель сценария S3 — приложение к ВКР</t>
        </is>
      </c>
    </row>
    <row r="2">
      <c r="A2" s="2" t="inlineStr"/>
    </row>
    <row r="3">
      <c r="A3" s="2" t="inlineStr">
        <is>
          <t>Автор: [ФИО студента], ВКР НИУ ВШЭ, 2026 г.</t>
        </is>
      </c>
    </row>
    <row r="4">
      <c r="A4" s="2" t="inlineStr"/>
    </row>
    <row r="5">
      <c r="A5" s="2" t="inlineStr">
        <is>
          <t>Назначение файла. Расчётная часть финансовой модели сценария S3 (диверсификация</t>
        </is>
      </c>
    </row>
    <row r="6">
      <c r="A6" s="2" t="inlineStr">
        <is>
          <t>режимов конкурентных действий МТС Юрент по портфелю региональных рынков</t>
        </is>
      </c>
    </row>
    <row r="7">
      <c r="A7" s="2" t="inlineStr">
        <is>
          <t>кикшеринга) на горизонте 12 и 24 месяцев. Все цифры из §3.4 ВКР воспроизводимы</t>
        </is>
      </c>
    </row>
    <row r="8">
      <c r="A8" s="2" t="inlineStr">
        <is>
          <t>из ячеек этого файла; формулы открыты, циклических ссылок нет.</t>
        </is>
      </c>
    </row>
    <row r="9">
      <c r="A9" s="2" t="inlineStr"/>
    </row>
    <row r="10">
      <c r="A10" s="2" t="inlineStr">
        <is>
          <t>Структура листов:</t>
        </is>
      </c>
    </row>
    <row r="11">
      <c r="A11" s="2" t="inlineStr">
        <is>
          <t xml:space="preserve">  • README — описание модели и источников.</t>
        </is>
      </c>
    </row>
    <row r="12">
      <c r="A12" s="2" t="inlineStr">
        <is>
          <t xml:space="preserve">  • Данные_Юрент — сырые данные эксперта А. по 5 городам портфеля</t>
        </is>
      </c>
    </row>
    <row r="13">
      <c r="A13" s="2" t="inlineStr">
        <is>
          <t xml:space="preserve">    (поквартально, 2024 и 9 месяцев 2025): выручка, парк, активные пользователи,</t>
        </is>
      </c>
    </row>
    <row r="14">
      <c r="A14" s="2" t="inlineStr">
        <is>
          <t xml:space="preserve">    поездки. На основе этих данных рассчитываются производные показатели</t>
        </is>
      </c>
    </row>
    <row r="15">
      <c r="A15" s="2" t="inlineStr">
        <is>
          <t xml:space="preserve">    (выручка итого, утилизация, средний чек, YoY).</t>
        </is>
      </c>
    </row>
    <row r="16">
      <c r="A16" s="2" t="inlineStr">
        <is>
          <t xml:space="preserve">  • Затраты — статьи затрат на реализацию S3: региональное управление (A),</t>
        </is>
      </c>
    </row>
    <row r="17">
      <c r="A17" s="2" t="inlineStr">
        <is>
          <t xml:space="preserve">    маркетинг (B), инфраструктура и пилот УПС (C), накладные (D).</t>
        </is>
      </c>
    </row>
    <row r="18">
      <c r="A18" s="2" t="inlineStr">
        <is>
          <t xml:space="preserve">  • Эффекты — статьи эффектов с допущениями: R2 рост, УПС-пилот, R3 Москва,</t>
        </is>
      </c>
    </row>
    <row r="19">
      <c r="A19" s="2" t="inlineStr">
        <is>
          <t xml:space="preserve">    R1 малые города.</t>
        </is>
      </c>
    </row>
    <row r="20">
      <c r="A20" s="2" t="inlineStr">
        <is>
          <t xml:space="preserve">  • Сводная_финмодель — затраты, эффекты, чистый эффект S3 vs S1 (год 1 + год 2).</t>
        </is>
      </c>
    </row>
    <row r="21">
      <c r="A21" s="2" t="inlineStr">
        <is>
          <t xml:space="preserve">  • Чувствительность — сценарии (консервативный, базовый, оптимистичный)</t>
        </is>
      </c>
    </row>
    <row r="22">
      <c r="A22" s="2" t="inlineStr">
        <is>
          <t xml:space="preserve">    с пересчётом результата по 4 ключевым параметрам.</t>
        </is>
      </c>
    </row>
    <row r="23">
      <c r="A23" s="2" t="inlineStr">
        <is>
          <t xml:space="preserve">  • УПС_расчёт — детальная разбивка пилота в Екатеринбурге (как в §3.2 ВКР).</t>
        </is>
      </c>
    </row>
    <row r="24">
      <c r="A24" s="2" t="inlineStr"/>
    </row>
    <row r="25">
      <c r="A25" s="2" t="inlineStr">
        <is>
          <t>Источники данных:</t>
        </is>
      </c>
    </row>
    <row r="26">
      <c r="A26" s="2" t="inlineStr">
        <is>
          <t xml:space="preserve">  • Внутренняя поквартальная отчётность МТС Юрент по 86 субъектам РФ за 2024 г.</t>
        </is>
      </c>
    </row>
    <row r="27">
      <c r="A27" s="2" t="inlineStr">
        <is>
          <t xml:space="preserve">    и 9 месяцев 2025 г. (эксперт А., руководитель подразделения M&amp;A ПАО «МТС»).</t>
        </is>
      </c>
    </row>
    <row r="28">
      <c r="A28" s="2" t="inlineStr">
        <is>
          <t xml:space="preserve">  • Публичная отчётность ПАО «ВУШ Холдинг» по МСФО (9 мес. 2024) — для калибровки</t>
        </is>
      </c>
    </row>
    <row r="29">
      <c r="A29" s="2" t="inlineStr">
        <is>
          <t xml:space="preserve">    OpEx/Выручка и EBITDA-маржи бенчмарк-оператора.</t>
        </is>
      </c>
    </row>
    <row r="30">
      <c r="A30" s="2" t="inlineStr">
        <is>
          <t xml:space="preserve">  • Расчёт по проектному инструменту УПС (§3.2 ВКР).</t>
        </is>
      </c>
    </row>
    <row r="31">
      <c r="A31" s="2" t="inlineStr"/>
    </row>
    <row r="32">
      <c r="A32" s="2" t="inlineStr">
        <is>
          <t>Допущения, требующие калибровки на этапе пилота:</t>
        </is>
      </c>
    </row>
    <row r="33">
      <c r="A33" s="2" t="inlineStr">
        <is>
          <t xml:space="preserve">  — прирост темпа выручки R2-городов от дифференциации: 1–5 п.п. (база 3 п.п.);</t>
        </is>
      </c>
    </row>
    <row r="34">
      <c r="A34" s="2" t="inlineStr">
        <is>
          <t xml:space="preserve">  — доля замещения физической ребалансировки стимулами: 10–30 % (база 20 %);</t>
        </is>
      </c>
    </row>
    <row r="35">
      <c r="A35" s="2" t="inlineStr">
        <is>
          <t xml:space="preserve">  — стоимость физической ребалансировки: 120 руб./операция (отраслевая оценка);</t>
        </is>
      </c>
    </row>
    <row r="36">
      <c r="A36" s="2" t="inlineStr">
        <is>
          <t xml:space="preserve">  — доля ребалансировки в OpEx: ≈30 % (по аналогии с международными данными);</t>
        </is>
      </c>
    </row>
    <row r="37">
      <c r="A37" s="2" t="inlineStr">
        <is>
          <t xml:space="preserve">  — снижение OpEx Москвы в режиме R3: 1–3 % от выручки (база 2 %).</t>
        </is>
      </c>
    </row>
    <row r="38">
      <c r="A38" s="2" t="inlineStr"/>
    </row>
    <row r="39">
      <c r="A39" s="2" t="inlineStr">
        <is>
          <t>Все статьи с допущениями явно маркированы [ДОПУЩЕНИЕ] в столбце «Источник».</t>
        </is>
      </c>
    </row>
    <row r="40">
      <c r="A40" s="2" t="inlineStr">
        <is>
          <t>Точная калибровка модели возможна после доступа к внутренним данным</t>
        </is>
      </c>
    </row>
    <row r="41">
      <c r="A41" s="2" t="inlineStr">
        <is>
          <t>МТС Юрент по операционным издержкам и поведению пользователей на пилоте.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3" t="inlineStr">
        <is>
          <t>Сырые данные по 5 городам портфеля (источник: эксперт А., внутренняя отчётность МТС Юрент)</t>
        </is>
      </c>
    </row>
    <row r="2" ht="50" customHeight="1">
      <c r="A2" s="4" t="inlineStr">
        <is>
          <t>Город</t>
        </is>
      </c>
      <c r="B2" s="4" t="inlineStr">
        <is>
          <t>Q1 2024 выручка, руб.</t>
        </is>
      </c>
      <c r="C2" s="4" t="inlineStr">
        <is>
          <t>Q2 2024</t>
        </is>
      </c>
      <c r="D2" s="4" t="inlineStr">
        <is>
          <t>Q3 2024</t>
        </is>
      </c>
      <c r="E2" s="4" t="inlineStr">
        <is>
          <t>Q4 2024</t>
        </is>
      </c>
      <c r="F2" s="4" t="inlineStr">
        <is>
          <t>Выручка 2024 итого, руб.</t>
        </is>
      </c>
      <c r="G2" s="4" t="inlineStr">
        <is>
          <t>Q1 2025</t>
        </is>
      </c>
      <c r="H2" s="4" t="inlineStr">
        <is>
          <t>Q2 2025</t>
        </is>
      </c>
      <c r="I2" s="4" t="inlineStr">
        <is>
          <t>Q3 2025</t>
        </is>
      </c>
      <c r="J2" s="4" t="inlineStr">
        <is>
          <t>Выручка 9м 2025 итого, руб.</t>
        </is>
      </c>
      <c r="K2" s="4" t="inlineStr">
        <is>
          <t>Парк 30.09.2024</t>
        </is>
      </c>
      <c r="L2" s="4" t="inlineStr">
        <is>
          <t>Парк 30.09.2025</t>
        </is>
      </c>
      <c r="M2" s="4" t="inlineStr">
        <is>
          <t>Поездки 2024, шт.</t>
        </is>
      </c>
      <c r="N2" s="4" t="inlineStr">
        <is>
          <t>Поездки 9м 2025, шт.</t>
        </is>
      </c>
      <c r="O2" s="4" t="inlineStr">
        <is>
          <t>Активные польз. 2024</t>
        </is>
      </c>
      <c r="P2" s="4" t="inlineStr">
        <is>
          <t>Активные польз. 9м 2025</t>
        </is>
      </c>
      <c r="Q2" s="4" t="inlineStr">
        <is>
          <t>Средний чек 2024, руб.</t>
        </is>
      </c>
      <c r="R2" s="4" t="inlineStr">
        <is>
          <t>Утилизация 2024, п/с/год</t>
        </is>
      </c>
      <c r="S2" s="4" t="inlineStr">
        <is>
          <t>YoY выручка 9м, %</t>
        </is>
      </c>
      <c r="T2" s="4" t="inlineStr">
        <is>
          <t>YoY поездки 9м, %</t>
        </is>
      </c>
    </row>
    <row r="3">
      <c r="A3" s="5" t="inlineStr">
        <is>
          <t>Москва</t>
        </is>
      </c>
      <c r="B3" s="6" t="n">
        <v>55872229</v>
      </c>
      <c r="C3" s="6" t="n">
        <v>1027831362</v>
      </c>
      <c r="D3" s="6" t="n">
        <v>1137207367</v>
      </c>
      <c r="E3" s="6" t="n">
        <v>405496016</v>
      </c>
      <c r="F3" s="7">
        <f>SUM(B3:E3)</f>
        <v/>
      </c>
      <c r="G3" s="6" t="n">
        <v>105058258</v>
      </c>
      <c r="H3" s="6" t="n">
        <v>781898823</v>
      </c>
      <c r="I3" s="6" t="n">
        <v>1158367553</v>
      </c>
      <c r="J3" s="7">
        <f>SUM(G3:I3)</f>
        <v/>
      </c>
      <c r="K3" s="6" t="n">
        <v>30488</v>
      </c>
      <c r="L3" s="6" t="n">
        <v>34809</v>
      </c>
      <c r="M3" s="6" t="n">
        <v>32700289</v>
      </c>
      <c r="N3" s="6" t="n">
        <v>26027764</v>
      </c>
      <c r="O3" s="6" t="n">
        <v>1668433</v>
      </c>
      <c r="P3" s="6" t="n">
        <v>1455275</v>
      </c>
      <c r="Q3" s="8">
        <f>F3/M3</f>
        <v/>
      </c>
      <c r="R3" s="9">
        <f>M3/K3</f>
        <v/>
      </c>
      <c r="S3" s="10">
        <f>(J3/SUM(B3:D3)-1)*100</f>
        <v/>
      </c>
      <c r="T3" s="10" t="n">
        <v>-6.638959885165018</v>
      </c>
    </row>
    <row r="4">
      <c r="A4" s="5" t="inlineStr">
        <is>
          <t>Санкт-Петербург</t>
        </is>
      </c>
      <c r="B4" s="6" t="n">
        <v>15335868</v>
      </c>
      <c r="C4" s="6" t="n">
        <v>157972556</v>
      </c>
      <c r="D4" s="6" t="n">
        <v>215148744</v>
      </c>
      <c r="E4" s="6" t="n">
        <v>86285621</v>
      </c>
      <c r="F4" s="7">
        <f>SUM(B4:E4)</f>
        <v/>
      </c>
      <c r="G4" s="6" t="n">
        <v>24438962</v>
      </c>
      <c r="H4" s="6" t="n">
        <v>206715748</v>
      </c>
      <c r="I4" s="6" t="n">
        <v>316785495</v>
      </c>
      <c r="J4" s="7">
        <f>SUM(G4:I4)</f>
        <v/>
      </c>
      <c r="K4" s="6" t="n">
        <v>9909</v>
      </c>
      <c r="L4" s="6" t="n">
        <v>12987</v>
      </c>
      <c r="M4" s="6" t="n">
        <v>6034374</v>
      </c>
      <c r="N4" s="6" t="n">
        <v>7160192</v>
      </c>
      <c r="O4" s="6" t="n">
        <v>446420</v>
      </c>
      <c r="P4" s="6" t="n">
        <v>366555</v>
      </c>
      <c r="Q4" s="8">
        <f>F4/M4</f>
        <v/>
      </c>
      <c r="R4" s="9">
        <f>M4/K4</f>
        <v/>
      </c>
      <c r="S4" s="10">
        <f>(J4/SUM(B4:D4)-1)*100</f>
        <v/>
      </c>
      <c r="T4" s="10" t="n">
        <v>42.31219715991428</v>
      </c>
    </row>
    <row r="5">
      <c r="A5" s="5" t="inlineStr">
        <is>
          <t>Краснодар</t>
        </is>
      </c>
      <c r="B5" s="6" t="n">
        <v>104225661</v>
      </c>
      <c r="C5" s="6" t="n">
        <v>215159507</v>
      </c>
      <c r="D5" s="6" t="n">
        <v>369669934</v>
      </c>
      <c r="E5" s="6" t="n">
        <v>161899948</v>
      </c>
      <c r="F5" s="7">
        <f>SUM(B5:E5)</f>
        <v/>
      </c>
      <c r="G5" s="6" t="n">
        <v>111248305</v>
      </c>
      <c r="H5" s="6" t="n">
        <v>216411014</v>
      </c>
      <c r="I5" s="6" t="n">
        <v>322832957</v>
      </c>
      <c r="J5" s="7">
        <f>SUM(G5:I5)</f>
        <v/>
      </c>
      <c r="K5" s="6" t="n">
        <v>14658</v>
      </c>
      <c r="L5" s="6" t="n">
        <v>13923</v>
      </c>
      <c r="M5" s="6" t="n">
        <v>8273234</v>
      </c>
      <c r="N5" s="6" t="n">
        <v>6149400</v>
      </c>
      <c r="O5" s="6" t="n">
        <v>817892</v>
      </c>
      <c r="P5" s="6" t="n">
        <v>608865</v>
      </c>
      <c r="Q5" s="8">
        <f>F5/M5</f>
        <v/>
      </c>
      <c r="R5" s="9">
        <f>M5/K5</f>
        <v/>
      </c>
      <c r="S5" s="10">
        <f>(J5/SUM(B5:D5)-1)*100</f>
        <v/>
      </c>
      <c r="T5" s="10" t="n">
        <v>-10.23043686569426</v>
      </c>
    </row>
    <row r="6">
      <c r="A6" s="5" t="inlineStr">
        <is>
          <t>Екатеринбург</t>
        </is>
      </c>
      <c r="B6" s="6" t="n">
        <v>51370</v>
      </c>
      <c r="C6" s="6" t="n">
        <v>46643183</v>
      </c>
      <c r="D6" s="6" t="n">
        <v>88915371</v>
      </c>
      <c r="E6" s="6" t="n">
        <v>17724165</v>
      </c>
      <c r="F6" s="7">
        <f>SUM(B6:E6)</f>
        <v/>
      </c>
      <c r="G6" s="6" t="n">
        <v>8363487</v>
      </c>
      <c r="H6" s="6" t="n">
        <v>73909475</v>
      </c>
      <c r="I6" s="6" t="n">
        <v>47479969</v>
      </c>
      <c r="J6" s="7">
        <f>SUM(G6:I6)</f>
        <v/>
      </c>
      <c r="K6" s="6" t="n">
        <v>6448</v>
      </c>
      <c r="L6" s="6" t="n">
        <v>5966</v>
      </c>
      <c r="M6" s="6" t="n">
        <v>2055959</v>
      </c>
      <c r="N6" s="6" t="n">
        <v>1894839</v>
      </c>
      <c r="O6" s="6" t="n">
        <v>136165</v>
      </c>
      <c r="P6" s="6" t="n">
        <v>113313</v>
      </c>
      <c r="Q6" s="8">
        <f>F6/M6</f>
        <v/>
      </c>
      <c r="R6" s="9">
        <f>M6/K6</f>
        <v/>
      </c>
      <c r="S6" s="10">
        <f>(J6/SUM(B6:D6)-1)*100</f>
        <v/>
      </c>
      <c r="T6" s="10" t="n">
        <v>4.149916068372117</v>
      </c>
    </row>
    <row r="7">
      <c r="A7" s="5" t="inlineStr">
        <is>
          <t>Новосибирск</t>
        </is>
      </c>
      <c r="B7" s="6" t="n">
        <v>0</v>
      </c>
      <c r="C7" s="6" t="n">
        <v>3144143</v>
      </c>
      <c r="D7" s="6" t="n">
        <v>50415957</v>
      </c>
      <c r="E7" s="6" t="n">
        <v>11602785</v>
      </c>
      <c r="F7" s="7">
        <f>SUM(B7:E7)</f>
        <v/>
      </c>
      <c r="G7" s="6" t="n">
        <v>2790054</v>
      </c>
      <c r="H7" s="6" t="n">
        <v>65528717</v>
      </c>
      <c r="I7" s="6" t="n">
        <v>61952556</v>
      </c>
      <c r="J7" s="7">
        <f>SUM(G7:I7)</f>
        <v/>
      </c>
      <c r="K7" s="6" t="n">
        <v>2920</v>
      </c>
      <c r="L7" s="6" t="n">
        <v>5568</v>
      </c>
      <c r="M7" s="6" t="n">
        <v>810348</v>
      </c>
      <c r="N7" s="6" t="n">
        <v>1510266</v>
      </c>
      <c r="O7" s="6" t="n">
        <v>79933</v>
      </c>
      <c r="P7" s="6" t="n">
        <v>114777</v>
      </c>
      <c r="Q7" s="8">
        <f>F7/M7</f>
        <v/>
      </c>
      <c r="R7" s="9">
        <f>M7/K7</f>
        <v/>
      </c>
      <c r="S7" s="10">
        <f>(J7/SUM(B7:D7)-1)*100</f>
        <v/>
      </c>
      <c r="T7" s="10" t="n">
        <v>128.9371003780587</v>
      </c>
    </row>
    <row r="8">
      <c r="A8" s="11" t="inlineStr">
        <is>
          <t>Итого 5 городов</t>
        </is>
      </c>
      <c r="F8" s="7">
        <f>SUM(F3:F7)</f>
        <v/>
      </c>
      <c r="J8" s="7">
        <f>SUM(J3:J7)</f>
        <v/>
      </c>
      <c r="K8" s="7">
        <f>SUM(K3:K7)</f>
        <v/>
      </c>
      <c r="L8" s="7">
        <f>SUM(L3:L7)</f>
        <v/>
      </c>
      <c r="M8" s="7">
        <f>SUM(M3:M7)</f>
        <v/>
      </c>
      <c r="N8" s="7">
        <f>SUM(N3:N7)</f>
        <v/>
      </c>
      <c r="O8" s="7">
        <f>SUM(O3:O7)</f>
        <v/>
      </c>
      <c r="P8" s="7">
        <f>SUM(P3:P7)</f>
        <v/>
      </c>
      <c r="Q8" s="12">
        <f>F8/M8</f>
        <v/>
      </c>
      <c r="R8" s="13">
        <f>M8/K8</f>
        <v/>
      </c>
    </row>
    <row r="10">
      <c r="A10" s="14" t="inlineStr">
        <is>
          <t>Источник: внутренняя поквартальная отчётность МТС Юрент по регионам РФ (эксперт А., данные на 30.09.2025). Выручка — без НДС, включая партнёров и франчайзи на территории РФ.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 t="n"/>
    </row>
  </sheetData>
  <mergeCells count="2">
    <mergeCell ref="A1:U1"/>
    <mergeCell ref="A10:J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2" customWidth="1" min="3" max="3"/>
    <col width="22" customWidth="1" min="4" max="4"/>
    <col width="55" customWidth="1" min="5" max="5"/>
  </cols>
  <sheetData>
    <row r="1">
      <c r="A1" s="3" t="inlineStr">
        <is>
          <t>Затраты на реализацию сценария S3 (горизонт 12 месяцев)</t>
        </is>
      </c>
    </row>
    <row r="2" ht="30" customHeight="1">
      <c r="A2" s="4" t="inlineStr">
        <is>
          <t>Блок</t>
        </is>
      </c>
      <c r="B2" s="4" t="inlineStr">
        <is>
          <t>Статья</t>
        </is>
      </c>
      <c r="C2" s="4" t="inlineStr">
        <is>
          <t>Расчёт</t>
        </is>
      </c>
      <c r="D2" s="4" t="inlineStr">
        <is>
          <t>Сумма, тыс. руб./год</t>
        </is>
      </c>
      <c r="E2" s="4" t="inlineStr">
        <is>
          <t>Источник / допущение</t>
        </is>
      </c>
    </row>
    <row r="3">
      <c r="A3" s="17" t="inlineStr">
        <is>
          <t>A. Региональное управление</t>
        </is>
      </c>
      <c r="B3" s="18" t="inlineStr">
        <is>
          <t>3 региональных менеджера по кластерам режимов</t>
        </is>
      </c>
      <c r="C3" s="19" t="inlineStr">
        <is>
          <t>3 × 350 × 12</t>
        </is>
      </c>
      <c r="D3" s="6" t="n">
        <v>12600</v>
      </c>
      <c r="E3" s="18" t="inlineStr">
        <is>
          <t>ФОТ gross 350 тыс. руб./мес. с налогами и соцпакетом [ДОПУЩЕНИЕ — рыночная вилка middle management в МТС]</t>
        </is>
      </c>
    </row>
    <row r="4">
      <c r="A4" s="17" t="inlineStr">
        <is>
          <t>A. Региональное управление</t>
        </is>
      </c>
      <c r="B4" s="18" t="inlineStr">
        <is>
          <t>3 региональных аналитика</t>
        </is>
      </c>
      <c r="C4" s="19" t="inlineStr">
        <is>
          <t>3 × 200 × 12</t>
        </is>
      </c>
      <c r="D4" s="6" t="n">
        <v>7200</v>
      </c>
      <c r="E4" s="18" t="inlineStr">
        <is>
          <t>ФОТ gross 200 тыс. руб./мес. [ДОПУЩЕНИЕ — стандартная вилка для аналитиков]</t>
        </is>
      </c>
    </row>
    <row r="5">
      <c r="A5" s="17" t="inlineStr">
        <is>
          <t>A. Региональное управление</t>
        </is>
      </c>
      <c r="B5" s="18" t="inlineStr">
        <is>
          <t>Накладные (командировки, BI-инструменты, рабочие места)</t>
        </is>
      </c>
      <c r="C5" s="19" t="inlineStr">
        <is>
          <t>~10% от ФОТ</t>
        </is>
      </c>
      <c r="D5" s="6" t="n">
        <v>2000</v>
      </c>
      <c r="E5" s="18" t="inlineStr">
        <is>
          <t>[ДОПУЩЕНИЕ]</t>
        </is>
      </c>
    </row>
    <row r="6">
      <c r="A6" s="17" t="inlineStr">
        <is>
          <t>B. Маркетинг S3</t>
        </is>
      </c>
      <c r="B6" s="18" t="inlineStr">
        <is>
          <t>Исследования и креатив для трёх режимных кампаний</t>
        </is>
      </c>
      <c r="C6" s="19" t="inlineStr">
        <is>
          <t>—</t>
        </is>
      </c>
      <c r="D6" s="6" t="n">
        <v>3000</v>
      </c>
      <c r="E6" s="18" t="inlineStr">
        <is>
          <t>[ДОПУЩЕНИЕ — без учёта медиа-инвестиций из стандартного бюджета]</t>
        </is>
      </c>
    </row>
    <row r="7">
      <c r="A7" s="17" t="inlineStr">
        <is>
          <t>B. Маркетинг S3</t>
        </is>
      </c>
      <c r="B7" s="18" t="inlineStr">
        <is>
          <t>A/B-тестирование, аналитика результатов</t>
        </is>
      </c>
      <c r="C7" s="19" t="inlineStr">
        <is>
          <t>—</t>
        </is>
      </c>
      <c r="D7" s="6" t="n">
        <v>4000</v>
      </c>
      <c r="E7" s="18" t="inlineStr">
        <is>
          <t>[ДОПУЩЕНИЕ]</t>
        </is>
      </c>
    </row>
    <row r="8">
      <c r="A8" s="17" t="inlineStr">
        <is>
          <t>C. УПС-инфраструктура и пилот</t>
        </is>
      </c>
      <c r="B8" s="18" t="inlineStr">
        <is>
          <t>IT-доработки (геозоны, push-таргетинг, движок стимулов, ЛК исполнителя)</t>
        </is>
      </c>
      <c r="C8" s="19" t="inlineStr">
        <is>
          <t>capex однократно</t>
        </is>
      </c>
      <c r="D8" s="6" t="n">
        <v>8000</v>
      </c>
      <c r="E8" s="18" t="inlineStr">
        <is>
          <t>[ДОПУЩЕНИЕ — оценка по аналогии с продуктовыми спринтами Юрент]</t>
        </is>
      </c>
    </row>
    <row r="9">
      <c r="A9" s="17" t="inlineStr">
        <is>
          <t>C. УПС-инфраструктура и пилот</t>
        </is>
      </c>
      <c r="B9" s="18" t="inlineStr">
        <is>
          <t>Команда пилота: 1 продакт + 1 аналитик × 6 мес.</t>
        </is>
      </c>
      <c r="C9" s="19" t="inlineStr">
        <is>
          <t>2 × 400 × 6</t>
        </is>
      </c>
      <c r="D9" s="6" t="n">
        <v>4800</v>
      </c>
      <c r="E9" s="18" t="inlineStr">
        <is>
          <t>ФОТ gross 400 тыс. руб./мес. [ДОПУЩЕНИЕ]</t>
        </is>
      </c>
    </row>
    <row r="10">
      <c r="A10" s="17" t="inlineStr">
        <is>
          <t>C. УПС-инфраструктура и пилот</t>
        </is>
      </c>
      <c r="B10" s="18" t="inlineStr">
        <is>
          <t>Бюджет стимулов и микрозаданий в Екатеринбурге за сезон</t>
        </is>
      </c>
      <c r="C10" s="19" t="inlineStr">
        <is>
          <t>базовый сценарий §3.2</t>
        </is>
      </c>
      <c r="D10" s="6" t="n">
        <v>1000</v>
      </c>
      <c r="E10" s="18" t="inlineStr">
        <is>
          <t>Расчёт §3.2 ВКР: 26,5 руб./опер × ≈ 37 500 замещ. операций (см. лист «УПС_расчёт»)</t>
        </is>
      </c>
    </row>
    <row r="11">
      <c r="A11" s="17" t="inlineStr">
        <is>
          <t>C. УПС-инфраструктура и пилот</t>
        </is>
      </c>
      <c r="B11" s="18" t="inlineStr">
        <is>
          <t>Резерв на масштабирование стимульной кампании и непредвиденные</t>
        </is>
      </c>
      <c r="C11" s="19" t="inlineStr">
        <is>
          <t>—</t>
        </is>
      </c>
      <c r="D11" s="6" t="n">
        <v>2200</v>
      </c>
      <c r="E11" s="18" t="inlineStr">
        <is>
          <t>[ДОПУЩЕНИЕ — для сценариев A/B/C доля стимулов меняется в 2–3 раза]</t>
        </is>
      </c>
    </row>
    <row r="12">
      <c r="A12" s="17" t="inlineStr">
        <is>
          <t>D. Накладные и обучение</t>
        </is>
      </c>
      <c r="B12" s="18" t="inlineStr">
        <is>
          <t>Обучение региональных менеджеров и аналитиков</t>
        </is>
      </c>
      <c r="C12" s="19" t="inlineStr">
        <is>
          <t>—</t>
        </is>
      </c>
      <c r="D12" s="6" t="n">
        <v>1500</v>
      </c>
      <c r="E12" s="18" t="inlineStr">
        <is>
          <t>[ДОПУЩЕНИЕ]</t>
        </is>
      </c>
    </row>
    <row r="13">
      <c r="A13" s="17" t="inlineStr">
        <is>
          <t>D. Накладные и обучение</t>
        </is>
      </c>
      <c r="B13" s="18" t="inlineStr">
        <is>
          <t>Управленческий резерв</t>
        </is>
      </c>
      <c r="C13" s="19" t="inlineStr">
        <is>
          <t>—</t>
        </is>
      </c>
      <c r="D13" s="6" t="n">
        <v>1500</v>
      </c>
      <c r="E13" s="18" t="inlineStr">
        <is>
          <t>[ДОПУЩЕНИЕ]</t>
        </is>
      </c>
    </row>
    <row r="14">
      <c r="A14" s="11" t="inlineStr">
        <is>
          <t>ИТОГО затраты S3, год 1, тыс. руб.</t>
        </is>
      </c>
      <c r="D14" s="7">
        <f>SUM(D3:D13)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8" customWidth="1" min="1" max="1"/>
    <col width="23" customWidth="1" min="2" max="2"/>
    <col width="35" customWidth="1" min="3" max="3"/>
    <col width="50" customWidth="1" min="4" max="4"/>
    <col width="24" customWidth="1" min="5" max="5"/>
    <col width="25" customWidth="1" min="6" max="6"/>
  </cols>
  <sheetData>
    <row r="1">
      <c r="A1" s="3" t="inlineStr">
        <is>
          <t>Эффекты сценария S3 (горизонт 12 месяцев)</t>
        </is>
      </c>
    </row>
    <row r="2" ht="35" customHeight="1">
      <c r="A2" s="4" t="inlineStr">
        <is>
          <t>Эффект</t>
        </is>
      </c>
      <c r="B2" s="4" t="inlineStr">
        <is>
          <t>Город / кластер</t>
        </is>
      </c>
      <c r="C2" s="4" t="inlineStr">
        <is>
          <t>База расчёта</t>
        </is>
      </c>
      <c r="D2" s="4" t="inlineStr">
        <is>
          <t>Параметр / допущение</t>
        </is>
      </c>
      <c r="E2" s="4" t="inlineStr">
        <is>
          <t>EBITDA-эффект, тыс. руб./год</t>
        </is>
      </c>
      <c r="F2" s="4" t="inlineStr">
        <is>
          <t>Источник</t>
        </is>
      </c>
    </row>
    <row r="3">
      <c r="A3" s="17" t="inlineStr">
        <is>
          <t>Эффект 1. R2 атака: прирост выручки</t>
        </is>
      </c>
      <c r="B3" s="17" t="inlineStr">
        <is>
          <t>СПб + Екб + Крд + Нск</t>
        </is>
      </c>
      <c r="C3" s="17" t="inlineStr">
        <is>
          <t>Выручка 2024 R2-портфеля: 1,544.2 млн руб.</t>
        </is>
      </c>
      <c r="D3" s="14" t="inlineStr">
        <is>
          <t>+3 п.п. к темпу выручки YoY (база; диапазон 1–5 п.п.) × EBITDA-маржа 25 %</t>
        </is>
      </c>
      <c r="E3" s="20">
        <f>ROUND(1544194.813*0.03*0.25,0)</f>
        <v/>
      </c>
      <c r="F3" s="17" t="inlineStr">
        <is>
          <t>§3.4 ВКР</t>
        </is>
      </c>
    </row>
    <row r="4">
      <c r="A4" s="17" t="inlineStr">
        <is>
          <t>Эффект 2. УПС-пилот Екатеринбург</t>
        </is>
      </c>
      <c r="B4" s="17" t="inlineStr">
        <is>
          <t>Екатеринбург</t>
        </is>
      </c>
      <c r="C4" s="17" t="inlineStr">
        <is>
          <t>Парк 6448, утилизация 319, средний чек 75 руб.</t>
        </is>
      </c>
      <c r="D4" s="14" t="inlineStr">
        <is>
          <t>Базовый сценарий (замещение 20 % ребалансировки) — см. лист УПС_расчёт</t>
        </is>
      </c>
      <c r="E4" s="20">
        <f>'УПС_расчёт'!$C$26</f>
        <v/>
      </c>
      <c r="F4" s="17" t="inlineStr">
        <is>
          <t>§3.2 ВКР, лист «УПС_расчёт»</t>
        </is>
      </c>
    </row>
    <row r="5">
      <c r="A5" s="17" t="inlineStr">
        <is>
          <t>Эффект 3. R3 Москва: оптимизация OpEx</t>
        </is>
      </c>
      <c r="B5" s="17" t="inlineStr">
        <is>
          <t>Москва</t>
        </is>
      </c>
      <c r="C5" s="17" t="inlineStr">
        <is>
          <t>Выручка 2024 Москвы: 2,626.4 млн руб.</t>
        </is>
      </c>
      <c r="D5" s="14" t="inlineStr">
        <is>
          <t>2 % от выручки рынка (база; диапазон 1–3 %)</t>
        </is>
      </c>
      <c r="E5" s="20">
        <f>ROUND(2626406.974*0.02,0)</f>
        <v/>
      </c>
      <c r="F5" s="17" t="inlineStr">
        <is>
          <t>§3.4 ВКР; [ДОПУЩЕНИЕ]</t>
        </is>
      </c>
    </row>
    <row r="6">
      <c r="A6" s="17" t="inlineStr">
        <is>
          <t>Эффект 4. R1 малые города: экономия капвложений</t>
        </is>
      </c>
      <c r="B6" s="17" t="inlineStr">
        <is>
          <t>Малые города</t>
        </is>
      </c>
      <c r="C6" s="17" t="inlineStr">
        <is>
          <t>За пределами портфеля 5 городов</t>
        </is>
      </c>
      <c r="D6" s="14" t="inlineStr">
        <is>
          <t>~10 млн руб. экономии капвложений (диапазон 5–20); эффект на EBITDA ≈ 30 %</t>
        </is>
      </c>
      <c r="E6" s="20" t="n">
        <v>3000</v>
      </c>
      <c r="F6" s="17" t="inlineStr">
        <is>
          <t>§3.4 ВКР; [ДОПУЩЕНИЕ]</t>
        </is>
      </c>
    </row>
    <row r="7">
      <c r="A7" s="11" t="inlineStr">
        <is>
          <t>ИТОГО эффект S3, год 1, тыс. руб.</t>
        </is>
      </c>
      <c r="E7" s="7">
        <f>SUM(E3:E6)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22" customWidth="1" min="3" max="3"/>
    <col width="60" customWidth="1" min="4" max="4"/>
  </cols>
  <sheetData>
    <row r="1">
      <c r="A1" s="3" t="inlineStr">
        <is>
          <t>Детальный расчёт пилота УПС в Екатеринбурге (соответствует §3.2 ВКР)</t>
        </is>
      </c>
    </row>
    <row r="2" ht="30" customHeight="1">
      <c r="A2" s="4" t="inlineStr">
        <is>
          <t>№</t>
        </is>
      </c>
      <c r="B2" s="4" t="inlineStr">
        <is>
          <t>Параметр</t>
        </is>
      </c>
      <c r="C2" s="4" t="inlineStr">
        <is>
          <t>Значение</t>
        </is>
      </c>
      <c r="D2" s="4" t="inlineStr">
        <is>
          <t>Источник / расчёт</t>
        </is>
      </c>
    </row>
    <row r="3">
      <c r="A3" s="19" t="n">
        <v>1</v>
      </c>
      <c r="B3" s="17" t="inlineStr">
        <is>
          <t>Парк Екб на 30.09.2024, шт.</t>
        </is>
      </c>
      <c r="C3" s="6" t="n">
        <v>6448</v>
      </c>
      <c r="D3" s="14" t="inlineStr">
        <is>
          <t>данные эксперта А.</t>
        </is>
      </c>
    </row>
    <row r="4">
      <c r="A4" s="19" t="n">
        <v>2</v>
      </c>
      <c r="B4" s="17" t="inlineStr">
        <is>
          <t>Поездки Екб за сезон Q2+Q3 2024, шт.</t>
        </is>
      </c>
      <c r="C4" s="6" t="n">
        <v>1819014</v>
      </c>
      <c r="D4" s="14" t="inlineStr">
        <is>
          <t>данные эксперта А. (Q2 565 936 + Q3 1 253 078)</t>
        </is>
      </c>
    </row>
    <row r="5">
      <c r="A5" s="19" t="n">
        <v>3</v>
      </c>
      <c r="B5" s="17" t="inlineStr">
        <is>
          <t>Средний чек Екб 2024, руб.</t>
        </is>
      </c>
      <c r="C5" s="6" t="n">
        <v>75</v>
      </c>
      <c r="D5" s="14" t="inlineStr">
        <is>
          <t>выручка/поездки 2024 ≈ 74,6 руб. (данные эксперта А.)</t>
        </is>
      </c>
    </row>
    <row r="6">
      <c r="A6" s="19" t="n">
        <v>4</v>
      </c>
      <c r="B6" s="17" t="inlineStr">
        <is>
          <t>Утилизация 2024, поездок/самокат/год</t>
        </is>
      </c>
      <c r="C6" s="6" t="n">
        <v>319</v>
      </c>
      <c r="D6" s="14" t="inlineStr">
        <is>
          <t>поездки 2024 / парк (данные эксперта А.)</t>
        </is>
      </c>
    </row>
    <row r="7">
      <c r="A7" s="19" t="n">
        <v>5</v>
      </c>
      <c r="B7" s="17" t="inlineStr">
        <is>
          <t>OpEx / Выручка, %</t>
        </is>
      </c>
      <c r="C7" s="6" t="n">
        <v>55</v>
      </c>
      <c r="D7" s="14" t="inlineStr">
        <is>
          <t>Whoosh 48 % (МСФО, 9 мес. 2024) + 7 п.п. поправка на масштаб</t>
        </is>
      </c>
    </row>
    <row r="8">
      <c r="A8" s="19" t="n">
        <v>6</v>
      </c>
      <c r="B8" s="17" t="inlineStr">
        <is>
          <t>Доля ребалансировки в OpEx, %</t>
        </is>
      </c>
      <c r="C8" s="6" t="n">
        <v>30</v>
      </c>
      <c r="D8" s="14" t="inlineStr">
        <is>
          <t>[ДОПУЩЕНИЕ — по аналогии с международными исследованиями]</t>
        </is>
      </c>
    </row>
    <row r="9">
      <c r="A9" s="19" t="n">
        <v>7</v>
      </c>
      <c r="B9" s="17" t="inlineStr">
        <is>
          <t>Стоимость физической ребалансировки, руб./операция</t>
        </is>
      </c>
      <c r="C9" s="6" t="n">
        <v>120</v>
      </c>
      <c r="D9" s="14" t="inlineStr">
        <is>
          <t>[ДОПУЩЕНИЕ — отраслевая оценка; подлежит калибровке]</t>
        </is>
      </c>
    </row>
    <row r="10">
      <c r="A10" s="19" t="n">
        <v>8</v>
      </c>
      <c r="B10" s="17" t="inlineStr">
        <is>
          <t>Стимул на стороне точки высадки, руб.</t>
        </is>
      </c>
      <c r="C10" s="6" t="n">
        <v>15</v>
      </c>
      <c r="D10" s="14" t="inlineStr">
        <is>
          <t>[ДОПУЩЕНИЕ; доля случаев 50 %]</t>
        </is>
      </c>
    </row>
    <row r="11">
      <c r="A11" s="19" t="n">
        <v>9</v>
      </c>
      <c r="B11" s="17" t="inlineStr">
        <is>
          <t>Стимул на стороне точки посадки, руб.</t>
        </is>
      </c>
      <c r="C11" s="6" t="n">
        <v>10</v>
      </c>
      <c r="D11" s="14" t="inlineStr">
        <is>
          <t>[ДОПУЩЕНИЕ; доля случаев 30 %]</t>
        </is>
      </c>
    </row>
    <row r="12">
      <c r="A12" s="19" t="n">
        <v>10</v>
      </c>
      <c r="B12" s="17" t="inlineStr">
        <is>
          <t>Стимул внешнему исполнителю, руб.</t>
        </is>
      </c>
      <c r="C12" s="6" t="n">
        <v>80</v>
      </c>
      <c r="D12" s="14" t="inlineStr">
        <is>
          <t>[ДОПУЩЕНИЕ; доля случаев 20 %]</t>
        </is>
      </c>
    </row>
    <row r="13">
      <c r="A13" s="19" t="n">
        <v>11</v>
      </c>
      <c r="B13" s="17" t="inlineStr">
        <is>
          <t>Средневзвешенная стоимость стимула, руб./операция</t>
        </is>
      </c>
      <c r="C13" s="7">
        <f>$B$10*0.5+$B$11*0.3+$B$12*0.2</f>
        <v/>
      </c>
      <c r="D13" s="14" t="inlineStr">
        <is>
          <t>B8 × 0,5 + B9 × 0,3 + B10 × 0,2</t>
        </is>
      </c>
    </row>
    <row r="14">
      <c r="A14" s="19" t="n">
        <v>12</v>
      </c>
      <c r="B14" s="17" t="inlineStr">
        <is>
          <t>Замещение ребалансировки стимулами, % (базовый сценарий B)</t>
        </is>
      </c>
      <c r="C14" s="6" t="n">
        <v>20</v>
      </c>
      <c r="D14" s="14" t="inlineStr">
        <is>
          <t>§3.2: A=10 %, B=20 %, C=30 %</t>
        </is>
      </c>
    </row>
    <row r="15">
      <c r="A15" s="19" t="n">
        <v>13</v>
      </c>
      <c r="B15" s="17" t="inlineStr">
        <is>
          <t>Прирост восстановленных поездок в пилотных зонах, %</t>
        </is>
      </c>
      <c r="C15" s="6" t="n">
        <v>6</v>
      </c>
      <c r="D15" s="14" t="inlineStr">
        <is>
          <t>[ДОПУЩЕНИЕ — доля чувствительных микролокаций]</t>
        </is>
      </c>
    </row>
    <row r="16">
      <c r="A16" s="21" t="inlineStr"/>
      <c r="B16" s="21" t="inlineStr"/>
      <c r="C16" s="21" t="inlineStr"/>
      <c r="D16" s="21" t="inlineStr"/>
    </row>
    <row r="17">
      <c r="A17" s="19" t="n">
        <v>14</v>
      </c>
      <c r="B17" s="17" t="inlineStr">
        <is>
          <t>Выручка Екб за сезон Q2+Q3, тыс. руб.</t>
        </is>
      </c>
      <c r="C17" s="7">
        <f>ROUND($B$4*$B$5/1000,0)</f>
        <v/>
      </c>
      <c r="D17" s="14" t="inlineStr">
        <is>
          <t>B2 × B3 / 1000</t>
        </is>
      </c>
    </row>
    <row r="18">
      <c r="A18" s="19" t="n">
        <v>15</v>
      </c>
      <c r="B18" s="17" t="inlineStr">
        <is>
          <t>OpEx сезона, тыс. руб.</t>
        </is>
      </c>
      <c r="C18" s="7">
        <f>ROUND($B$17*$B$7/100,0)</f>
        <v/>
      </c>
      <c r="D18" s="14" t="inlineStr">
        <is>
          <t>B14 × B5 / 100</t>
        </is>
      </c>
    </row>
    <row r="19">
      <c r="A19" s="19" t="n">
        <v>16</v>
      </c>
      <c r="B19" s="17" t="inlineStr">
        <is>
          <t>Расходы на физ. ребалансировку (сезон), тыс. руб.</t>
        </is>
      </c>
      <c r="C19" s="7">
        <f>ROUND($B$18*$B$8/100,0)</f>
        <v/>
      </c>
      <c r="D19" s="14" t="inlineStr">
        <is>
          <t>B15 × B6 / 100</t>
        </is>
      </c>
    </row>
    <row r="20">
      <c r="A20" s="19" t="n">
        <v>17</v>
      </c>
      <c r="B20" s="17" t="inlineStr">
        <is>
          <t>Базовое число операций физ. ребалансировки за сезон</t>
        </is>
      </c>
      <c r="C20" s="7">
        <f>ROUND($B$19*1000/$B$9,0)</f>
        <v/>
      </c>
      <c r="D20" s="14" t="inlineStr">
        <is>
          <t>B16 × 1000 / B7</t>
        </is>
      </c>
    </row>
    <row r="21">
      <c r="A21" s="19" t="n">
        <v>18</v>
      </c>
      <c r="B21" s="17" t="inlineStr">
        <is>
          <t>Число замещённых операций (базовый B)</t>
        </is>
      </c>
      <c r="C21" s="7">
        <f>ROUND($B$20*$B$14/100,0)</f>
        <v/>
      </c>
      <c r="D21" s="14" t="inlineStr">
        <is>
          <t>B17 × B12 / 100</t>
        </is>
      </c>
    </row>
    <row r="22">
      <c r="A22" s="21" t="inlineStr"/>
      <c r="B22" s="21" t="inlineStr"/>
      <c r="C22" s="21" t="inlineStr"/>
      <c r="D22" s="21" t="inlineStr"/>
    </row>
    <row r="23">
      <c r="A23" s="19" t="n">
        <v>19</v>
      </c>
      <c r="B23" s="17" t="inlineStr">
        <is>
          <t>Чистая экономия от замещения, тыс. руб.</t>
        </is>
      </c>
      <c r="C23" s="7">
        <f>ROUND(($B$9-$B$13)*$B$21/1000,0)</f>
        <v/>
      </c>
      <c r="D23" s="14" t="inlineStr">
        <is>
          <t>(B7 – B11) × B18 / 1000  ← платим стимул вместо физ. ребалансировки</t>
        </is>
      </c>
    </row>
    <row r="24">
      <c r="A24" s="19" t="n">
        <v>20</v>
      </c>
      <c r="B24" s="17" t="inlineStr">
        <is>
          <t>Дополнительная выручка от восстановленных поездок, тыс. руб.</t>
        </is>
      </c>
      <c r="C24" s="7">
        <f>ROUND($B$4*$B$15/100*$B$5/1000,0)</f>
        <v/>
      </c>
      <c r="D24" s="14" t="inlineStr">
        <is>
          <t>B2 × B13 / 100 × B3 / 1000  ← устранение разрывов покрытия</t>
        </is>
      </c>
    </row>
    <row r="25">
      <c r="A25" s="21" t="inlineStr"/>
      <c r="B25" s="21" t="inlineStr"/>
      <c r="C25" s="21" t="inlineStr"/>
      <c r="D25" s="21" t="inlineStr"/>
    </row>
    <row r="26" ht="25" customHeight="1">
      <c r="A26" s="19" t="n">
        <v>21</v>
      </c>
      <c r="B26" s="22" t="inlineStr">
        <is>
          <t>ЧИСТЫЙ ЭФФЕКТ УПС (базовый сценарий B), тыс. руб.</t>
        </is>
      </c>
      <c r="C26" s="23">
        <f>$B$23+$B$24</f>
        <v/>
      </c>
      <c r="D26" s="14" t="inlineStr">
        <is>
          <t>B19 + B20</t>
        </is>
      </c>
    </row>
    <row r="28">
      <c r="A28" s="24" t="inlineStr">
        <is>
          <t>Сценарии чувствительности УПС (по доле замещения ребалансировки)</t>
        </is>
      </c>
      <c r="B28" s="15" t="n"/>
      <c r="C28" s="15" t="n"/>
      <c r="D28" s="16" t="n"/>
    </row>
    <row r="29">
      <c r="A29" s="25" t="inlineStr">
        <is>
          <t>Сценарий</t>
        </is>
      </c>
      <c r="B29" s="25" t="inlineStr">
        <is>
          <t>Замещение, %</t>
        </is>
      </c>
      <c r="C29" s="25" t="inlineStr">
        <is>
          <t>Прирост поездок (масштаб), %</t>
        </is>
      </c>
      <c r="D29" s="25" t="inlineStr">
        <is>
          <t>Чистый эффект, тыс. руб.</t>
        </is>
      </c>
    </row>
    <row r="30">
      <c r="A30" s="17" t="inlineStr">
        <is>
          <t>A. Консервативный</t>
        </is>
      </c>
      <c r="B30" s="26" t="n">
        <v>10</v>
      </c>
      <c r="C30" s="26" t="n">
        <v>3</v>
      </c>
      <c r="D30" s="20">
        <f>ROUND(($B$9-$B$13)*$B$20*10/100/1000 + $B$4*3/100*$B$5/1000, 0)</f>
        <v/>
      </c>
    </row>
    <row r="31">
      <c r="A31" s="17" t="inlineStr">
        <is>
          <t>B. Базовый</t>
        </is>
      </c>
      <c r="B31" s="26" t="n">
        <v>20</v>
      </c>
      <c r="C31" s="26" t="n">
        <v>6</v>
      </c>
      <c r="D31" s="20">
        <f>ROUND(($B$9-$B$13)*$B$20*20/100/1000 + $B$4*6/100*$B$5/1000, 0)</f>
        <v/>
      </c>
    </row>
    <row r="32">
      <c r="A32" s="17" t="inlineStr">
        <is>
          <t>C. Оптимистичный</t>
        </is>
      </c>
      <c r="B32" s="26" t="n">
        <v>30</v>
      </c>
      <c r="C32" s="26" t="n">
        <v>9</v>
      </c>
      <c r="D32" s="20">
        <f>ROUND(($B$9-$B$13)*$B$20*30/100/1000 + $B$4*9/100*$B$5/1000, 0)</f>
        <v/>
      </c>
    </row>
  </sheetData>
  <mergeCells count="2">
    <mergeCell ref="A1:D1"/>
    <mergeCell ref="A28:D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55" customWidth="1" min="3" max="3"/>
  </cols>
  <sheetData>
    <row r="1">
      <c r="A1" s="1" t="inlineStr">
        <is>
          <t>Сводная финансовая модель S3</t>
        </is>
      </c>
    </row>
    <row r="2">
      <c r="A2" s="27" t="inlineStr">
        <is>
          <t>Статья</t>
        </is>
      </c>
      <c r="B2" s="27" t="inlineStr">
        <is>
          <t>Млн руб.</t>
        </is>
      </c>
      <c r="C2" s="27" t="inlineStr">
        <is>
          <t>Источник</t>
        </is>
      </c>
    </row>
    <row r="3">
      <c r="A3" s="28" t="inlineStr">
        <is>
          <t>ГОД 1 (12 месяцев)</t>
        </is>
      </c>
      <c r="B3" s="15" t="n"/>
      <c r="C3" s="16" t="n"/>
    </row>
    <row r="4">
      <c r="A4" s="17" t="inlineStr">
        <is>
          <t>Затраты, всего</t>
        </is>
      </c>
      <c r="B4" s="29">
        <f>-'Затраты'!$D$14/1000</f>
        <v/>
      </c>
      <c r="C4" s="14" t="inlineStr">
        <is>
          <t>Лист «Затраты», итого</t>
        </is>
      </c>
    </row>
    <row r="5">
      <c r="A5" s="17" t="inlineStr">
        <is>
          <t>Эффект 1. R2-прирост выручки (СПб, Екб, Крд, Нск)</t>
        </is>
      </c>
      <c r="B5" s="30">
        <f>'Эффекты'!$E$3/1000</f>
        <v/>
      </c>
      <c r="C5" s="14" t="inlineStr">
        <is>
          <t>+3 п.п. × выручка R2 × EBITDA 25 %</t>
        </is>
      </c>
    </row>
    <row r="6">
      <c r="A6" s="17" t="inlineStr">
        <is>
          <t>Эффект 2. УПС-пилот Екатеринбург</t>
        </is>
      </c>
      <c r="B6" s="30">
        <f>'Эффекты'!$E$4/1000</f>
        <v/>
      </c>
      <c r="C6" s="14" t="inlineStr">
        <is>
          <t>§3.2, базовый сценарий B</t>
        </is>
      </c>
    </row>
    <row r="7">
      <c r="A7" s="17" t="inlineStr">
        <is>
          <t>Эффект 3. R3 Москва: оптимизация OpEx</t>
        </is>
      </c>
      <c r="B7" s="30">
        <f>'Эффекты'!$E$5/1000</f>
        <v/>
      </c>
      <c r="C7" s="14" t="inlineStr">
        <is>
          <t>2 % выручки Москвы</t>
        </is>
      </c>
    </row>
    <row r="8">
      <c r="A8" s="17" t="inlineStr">
        <is>
          <t>Эффект 4. R1 малые города: экономия капвложений</t>
        </is>
      </c>
      <c r="B8" s="30">
        <f>'Эффекты'!$E$6/1000</f>
        <v/>
      </c>
      <c r="C8" s="14" t="inlineStr">
        <is>
          <t>Защита от нерентабельных инвестиций</t>
        </is>
      </c>
    </row>
    <row r="9">
      <c r="A9" s="11" t="inlineStr">
        <is>
          <t>Эффект, всего</t>
        </is>
      </c>
      <c r="B9" s="31">
        <f>SUM(B5:B8)</f>
        <v/>
      </c>
    </row>
    <row r="10" ht="25" customHeight="1">
      <c r="A10" s="32" t="inlineStr">
        <is>
          <t>ЧИСТЫЙ ЭФФЕКТ S3 vs S1, год 1</t>
        </is>
      </c>
      <c r="B10" s="33">
        <f>B4+SUM(B5:B8)</f>
        <v/>
      </c>
    </row>
    <row r="13">
      <c r="A13" s="28" t="inlineStr">
        <is>
          <t>ГОД 2 (тиражирование УПС на 3 города R2-кластера, capex выпадает)</t>
        </is>
      </c>
      <c r="B13" s="15" t="n"/>
      <c r="C13" s="16" t="n"/>
    </row>
    <row r="14">
      <c r="A14" s="17" t="inlineStr">
        <is>
          <t>Затраты год 2 (без capex УПС)</t>
        </is>
      </c>
      <c r="B14" s="29" t="n">
        <v>-37</v>
      </c>
      <c r="C14" s="14" t="inlineStr">
        <is>
          <t>A + B + D + операционная часть C</t>
        </is>
      </c>
    </row>
    <row r="15">
      <c r="A15" s="17" t="inlineStr">
        <is>
          <t>Эффект 1 расширенный (R2-темпы +5 п.п.)</t>
        </is>
      </c>
      <c r="B15" s="30" t="n">
        <v>19.3</v>
      </c>
      <c r="C15" s="14" t="inlineStr">
        <is>
          <t>+5 п.п. × выручка R2 × EBITDA 25 %</t>
        </is>
      </c>
    </row>
    <row r="16">
      <c r="A16" s="17" t="inlineStr">
        <is>
          <t>Эффект 2 расширенный (УПС в 4 городах R2)</t>
        </is>
      </c>
      <c r="B16" s="30" t="n">
        <v>50</v>
      </c>
      <c r="C16" s="14" t="inlineStr">
        <is>
          <t>Тиражирование §3.2 на СПб, Крд, Нск (≈ 4× базы пилота, с учётом разных утилизаций)</t>
        </is>
      </c>
    </row>
    <row r="17">
      <c r="A17" s="17" t="inlineStr">
        <is>
          <t>Эффект 3 (R3 Москва, год 2)</t>
        </is>
      </c>
      <c r="B17" s="30" t="n">
        <v>55</v>
      </c>
      <c r="C17" s="14" t="inlineStr">
        <is>
          <t>Углубление оптимизации до 2,1 % от выручки</t>
        </is>
      </c>
    </row>
    <row r="18">
      <c r="A18" s="17" t="inlineStr">
        <is>
          <t>Эффект 4 (R1 малые города)</t>
        </is>
      </c>
      <c r="B18" s="30" t="n">
        <v>5</v>
      </c>
      <c r="C18" s="14" t="inlineStr">
        <is>
          <t>Расширение применения каркаса</t>
        </is>
      </c>
    </row>
    <row r="19" ht="25" customHeight="1">
      <c r="A19" s="32" t="inlineStr">
        <is>
          <t>ЧИСТЫЙ ЭФФЕКТ S3 vs S1, год 2</t>
        </is>
      </c>
      <c r="B19" s="33">
        <f>SUM(B14:B18)</f>
        <v/>
      </c>
    </row>
  </sheetData>
  <mergeCells count="3">
    <mergeCell ref="A1:C1"/>
    <mergeCell ref="A13:C13"/>
    <mergeCell ref="A3:C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3" t="inlineStr">
        <is>
          <t>Сценарии чувствительности чистого эффекта S3 (год 1)</t>
        </is>
      </c>
    </row>
    <row r="2">
      <c r="A2" s="27" t="inlineStr">
        <is>
          <t>Параметр</t>
        </is>
      </c>
      <c r="B2" s="27" t="inlineStr">
        <is>
          <t>Консервативный</t>
        </is>
      </c>
      <c r="C2" s="27" t="inlineStr">
        <is>
          <t>Базовый</t>
        </is>
      </c>
      <c r="D2" s="27" t="inlineStr">
        <is>
          <t>Оптимистичный</t>
        </is>
      </c>
      <c r="E2" s="27" t="inlineStr">
        <is>
          <t>Комментарий</t>
        </is>
      </c>
    </row>
    <row r="3">
      <c r="A3" s="17" t="inlineStr">
        <is>
          <t>Прирост темпа R2 выручки, п.п.</t>
        </is>
      </c>
      <c r="B3" s="34" t="n">
        <v>1</v>
      </c>
      <c r="C3" s="12" t="n">
        <v>3</v>
      </c>
      <c r="D3" s="34" t="n">
        <v>5</v>
      </c>
      <c r="E3" s="14" t="inlineStr">
        <is>
          <t>Допущение о силе эффекта дифференциации</t>
        </is>
      </c>
    </row>
    <row r="4">
      <c r="A4" s="17" t="inlineStr">
        <is>
          <t>Замещение ребалансировки УПС, %</t>
        </is>
      </c>
      <c r="B4" s="34" t="n">
        <v>10</v>
      </c>
      <c r="C4" s="12" t="n">
        <v>20</v>
      </c>
      <c r="D4" s="34" t="n">
        <v>30</v>
      </c>
      <c r="E4" s="14" t="inlineStr">
        <is>
          <t>Сценарии A/B/C из §3.2 / лист «УПС_расчёт»</t>
        </is>
      </c>
    </row>
    <row r="5">
      <c r="A5" s="17" t="inlineStr">
        <is>
          <t>Оптимизация OpEx Москвы, %</t>
        </is>
      </c>
      <c r="B5" s="34" t="n">
        <v>1</v>
      </c>
      <c r="C5" s="12" t="n">
        <v>2</v>
      </c>
      <c r="D5" s="34" t="n">
        <v>3</v>
      </c>
      <c r="E5" s="14" t="inlineStr">
        <is>
          <t>Глубина рычагов R3 в Москве</t>
        </is>
      </c>
    </row>
    <row r="6">
      <c r="A6" s="17" t="inlineStr">
        <is>
          <t>Экономия капвложений в малых городах, млн руб./год</t>
        </is>
      </c>
      <c r="B6" s="34" t="n">
        <v>5</v>
      </c>
      <c r="C6" s="12" t="n">
        <v>10</v>
      </c>
      <c r="D6" s="34" t="n">
        <v>20</v>
      </c>
      <c r="E6" s="14" t="inlineStr">
        <is>
          <t>Темпы расширения портфеля</t>
        </is>
      </c>
    </row>
    <row r="8">
      <c r="A8" s="24" t="inlineStr">
        <is>
          <t>Производные эффекты</t>
        </is>
      </c>
      <c r="B8" s="35" t="inlineStr"/>
      <c r="C8" s="35" t="inlineStr"/>
      <c r="D8" s="35" t="inlineStr"/>
      <c r="E8" s="35" t="inlineStr"/>
    </row>
    <row r="9">
      <c r="A9" s="17" t="inlineStr">
        <is>
          <t>Эффект 1 (R2 темпы), млн руб.</t>
        </is>
      </c>
      <c r="B9" s="36">
        <f>ROUND(1544.194813*B3/100*0.25,1)</f>
        <v/>
      </c>
      <c r="C9" s="37">
        <f>ROUND(1544.194813*C3/100*0.25,1)</f>
        <v/>
      </c>
      <c r="D9" s="36">
        <f>ROUND(1544.194813*D3/100*0.25,1)</f>
        <v/>
      </c>
    </row>
    <row r="10">
      <c r="A10" s="17" t="inlineStr">
        <is>
          <t>Эффект 2 (УПС-пилот), млн руб.</t>
        </is>
      </c>
      <c r="B10" s="36">
        <f>ROUND(B4/20*9.79,1)</f>
        <v/>
      </c>
      <c r="C10" s="37">
        <f>ROUND(C4/20*9.79,1)</f>
        <v/>
      </c>
      <c r="D10" s="36">
        <f>ROUND(D4/20*9.79,1)</f>
        <v/>
      </c>
    </row>
    <row r="11">
      <c r="A11" s="17" t="inlineStr">
        <is>
          <t>Эффект 3 (R3 Москва), млн руб.</t>
        </is>
      </c>
      <c r="B11" s="36">
        <f>ROUND(2626.406974*B5/100,1)</f>
        <v/>
      </c>
      <c r="C11" s="37">
        <f>ROUND(2626.406974*C5/100,1)</f>
        <v/>
      </c>
      <c r="D11" s="36">
        <f>ROUND(2626.406974*D5/100,1)</f>
        <v/>
      </c>
    </row>
    <row r="12">
      <c r="A12" s="17" t="inlineStr">
        <is>
          <t>Эффект 4 (R1 капвложения), млн руб.</t>
        </is>
      </c>
      <c r="B12" s="36">
        <f>ROUND(B6*0.3,1)</f>
        <v/>
      </c>
      <c r="C12" s="37">
        <f>ROUND(C6*0.3,1)</f>
        <v/>
      </c>
      <c r="D12" s="36">
        <f>ROUND(D6*0.3,1)</f>
        <v/>
      </c>
    </row>
    <row r="13">
      <c r="A13" s="17" t="inlineStr">
        <is>
          <t>Затраты S3, млн руб.</t>
        </is>
      </c>
      <c r="B13" s="36" t="n">
        <v>-48</v>
      </c>
      <c r="C13" s="38" t="n">
        <v>-48</v>
      </c>
      <c r="D13" s="36" t="n">
        <v>-48</v>
      </c>
    </row>
    <row r="14" ht="25" customHeight="1">
      <c r="A14" s="32" t="inlineStr">
        <is>
          <t>ЧИСТЫЙ ЭФФЕКТ S3, год 1, млн руб.</t>
        </is>
      </c>
      <c r="B14" s="33">
        <f>SUM(B9:B13)</f>
        <v/>
      </c>
      <c r="C14" s="33">
        <f>SUM(C9:C13)</f>
        <v/>
      </c>
      <c r="D14" s="33">
        <f>SUM(D9:D13)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2026-05-19T11:55:29Z</dcterms:created>
  <dcterms:modified xmlns:dcterms="http://purl.org/dc/terms/" xmlns:xsi="http://www.w3.org/2001/XMLSchema-instance" xsi:type="dcterms:W3CDTF">2026-05-19T11:55:29Z</dcterms:modified>
</cp:coreProperties>
</file>