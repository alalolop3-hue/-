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Данные_Юрент" sheetId="2" state="visible" r:id="rId2"/>
    <sheet xmlns:r="http://schemas.openxmlformats.org/officeDocument/2006/relationships" name="Затраты" sheetId="3" state="visible" r:id="rId3"/>
    <sheet xmlns:r="http://schemas.openxmlformats.org/officeDocument/2006/relationships" name="Эффекты" sheetId="4" state="visible" r:id="rId4"/>
    <sheet xmlns:r="http://schemas.openxmlformats.org/officeDocument/2006/relationships" name="Сводная_финмодель" sheetId="5" state="visible" r:id="rId5"/>
    <sheet xmlns:r="http://schemas.openxmlformats.org/officeDocument/2006/relationships" name="Чувствительность" sheetId="6" state="visible" r:id="rId6"/>
    <sheet xmlns:r="http://schemas.openxmlformats.org/officeDocument/2006/relationships" name="УПС_расчёт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;-0.0;0.0"/>
    <numFmt numFmtId="166" formatCode="+#,##0.0;-#,##0.0;0.0"/>
  </numFmts>
  <fonts count="8">
    <font>
      <name val="Calibri"/>
      <family val="2"/>
      <color theme="1"/>
      <sz val="11"/>
      <scheme val="minor"/>
    </font>
    <font>
      <name val="Times New Roman"/>
      <b val="1"/>
      <sz val="16"/>
    </font>
    <font>
      <name val="Times New Roman"/>
      <sz val="11"/>
    </font>
    <font>
      <name val="Times New Roman"/>
      <b val="1"/>
      <sz val="14"/>
    </font>
    <font>
      <name val="Times New Roman"/>
      <b val="1"/>
      <color rgb="00FFFFFF"/>
      <sz val="12"/>
    </font>
    <font>
      <name val="Times New Roman"/>
      <b val="1"/>
      <sz val="11"/>
    </font>
    <font>
      <name val="Times New Roman"/>
      <b val="1"/>
      <sz val="13"/>
    </font>
    <font>
      <name val="Times New Roman"/>
      <b val="1"/>
      <sz val="12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pivotButton="0" quotePrefix="0" xfId="0"/>
    <xf numFmtId="3" fontId="5" fillId="3" borderId="1" pivotButton="0" quotePrefix="0" xfId="0"/>
    <xf numFmtId="164" fontId="5" fillId="0" borderId="1" pivotButton="0" quotePrefix="0" xfId="0"/>
    <xf numFmtId="1" fontId="5" fillId="0" borderId="1" pivotButton="0" quotePrefix="0" xfId="0"/>
    <xf numFmtId="165" fontId="2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/>
    </xf>
    <xf numFmtId="3" fontId="5" fillId="4" borderId="1" pivotButton="0" quotePrefix="0" xfId="0"/>
    <xf numFmtId="0" fontId="4" fillId="2" borderId="0" applyAlignment="1" pivotButton="0" quotePrefix="0" xfId="0">
      <alignment horizontal="center"/>
    </xf>
    <xf numFmtId="166" fontId="5" fillId="5" borderId="1" pivotButton="0" quotePrefix="0" xfId="0"/>
    <xf numFmtId="0" fontId="2" fillId="0" borderId="1" applyAlignment="1" pivotButton="0" quotePrefix="0" xfId="0">
      <alignment wrapText="1"/>
    </xf>
    <xf numFmtId="166" fontId="5" fillId="4" borderId="1" pivotButton="0" quotePrefix="0" xfId="0"/>
    <xf numFmtId="166" fontId="5" fillId="3" borderId="1" pivotButton="0" quotePrefix="0" xfId="0"/>
    <xf numFmtId="0" fontId="6" fillId="3" borderId="1" pivotButton="0" quotePrefix="0" xfId="0"/>
    <xf numFmtId="166" fontId="6" fillId="3" borderId="1" pivotButton="0" quotePrefix="0" xfId="0"/>
    <xf numFmtId="0" fontId="6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5" fillId="3" borderId="1" pivotButton="0" quotePrefix="0" xfId="0"/>
    <xf numFmtId="165" fontId="5" fillId="5" borderId="1" pivotButton="0" quotePrefix="0" xfId="0"/>
    <xf numFmtId="0" fontId="7" fillId="3" borderId="1" pivotButton="0" quotePrefix="0" xfId="0"/>
    <xf numFmtId="165" fontId="7" fillId="3" borderId="1" pivotButton="0" quotePrefix="0" xfId="0"/>
    <xf numFmtId="0" fontId="7" fillId="0" borderId="1" pivotButton="0" quotePrefix="0" xfId="0"/>
    <xf numFmtId="3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Финансовая модель сценария S3 — приложение к ВКР</t>
        </is>
      </c>
    </row>
    <row r="2">
      <c r="A2" s="2" t="inlineStr"/>
    </row>
    <row r="3">
      <c r="A3" s="2" t="inlineStr">
        <is>
          <t>Автор: [ФИО студента], ВКР НИУ ВШЭ, 2026</t>
        </is>
      </c>
    </row>
    <row r="4">
      <c r="A4" s="2" t="inlineStr"/>
    </row>
    <row r="5">
      <c r="A5" s="2" t="inlineStr">
        <is>
          <t>Назначение файла. Этот Excel содержит расчётную часть финансовой модели сценария S3</t>
        </is>
      </c>
    </row>
    <row r="6">
      <c r="A6" s="2" t="inlineStr">
        <is>
          <t>(диверсификация режимов конкурентных действий МТС Юрент по портфелю региональных</t>
        </is>
      </c>
    </row>
    <row r="7">
      <c r="A7" s="2" t="inlineStr">
        <is>
          <t>рынков кикшеринга) на горизонте 12 месяцев. Все цифры из §3.4 ВКР воспроизводимы</t>
        </is>
      </c>
    </row>
    <row r="8">
      <c r="A8" s="2" t="inlineStr">
        <is>
          <t>непосредственно из ячеек этого файла; формулы открыты.</t>
        </is>
      </c>
    </row>
    <row r="9">
      <c r="A9" s="2" t="inlineStr"/>
    </row>
    <row r="10">
      <c r="A10" s="2" t="inlineStr">
        <is>
          <t>Структура листов:</t>
        </is>
      </c>
    </row>
    <row r="11">
      <c r="A11" s="2" t="inlineStr">
        <is>
          <t xml:space="preserve">  • Данные_Юрент — сырые данные эксперта А. по 5 городам портфеля (поквартально,</t>
        </is>
      </c>
    </row>
    <row r="12">
      <c r="A12" s="2" t="inlineStr">
        <is>
          <t xml:space="preserve">    2024 и 9 месяцев 2025): выручка, парк, активные пользователи, поездки.</t>
        </is>
      </c>
    </row>
    <row r="13">
      <c r="A13" s="2" t="inlineStr">
        <is>
          <t xml:space="preserve">  • Затраты — статьи затрат на реализацию S3 (региональное управление, маркетинг,</t>
        </is>
      </c>
    </row>
    <row r="14">
      <c r="A14" s="2" t="inlineStr">
        <is>
          <t xml:space="preserve">    инфраструктура и пилот УПС, накладные).</t>
        </is>
      </c>
    </row>
    <row r="15">
      <c r="A15" s="2" t="inlineStr">
        <is>
          <t xml:space="preserve">  • Эффекты — статьи эффектов с допущениями и формулами по 4 источникам:</t>
        </is>
      </c>
    </row>
    <row r="16">
      <c r="A16" s="2" t="inlineStr">
        <is>
          <t xml:space="preserve">    рост R2, УПС-пилот, оптимизация R3, экономия R1.</t>
        </is>
      </c>
    </row>
    <row r="17">
      <c r="A17" s="2" t="inlineStr">
        <is>
          <t xml:space="preserve">  • Сводная_финмодель — затраты, эффекты, чистый эффект S3 vs S1 (год 1).</t>
        </is>
      </c>
    </row>
    <row r="18">
      <c r="A18" s="2" t="inlineStr">
        <is>
          <t xml:space="preserve">  • Чувствительность — три сценария (консервативный, базовый, оптимистичный).</t>
        </is>
      </c>
    </row>
    <row r="19">
      <c r="A19" s="2" t="inlineStr">
        <is>
          <t xml:space="preserve">  • УПС_расчёт — детальная разбивка по проектному инструменту (пилот в Екатеринбурге).</t>
        </is>
      </c>
    </row>
    <row r="20">
      <c r="A20" s="2" t="inlineStr"/>
    </row>
    <row r="21">
      <c r="A21" s="2" t="inlineStr">
        <is>
          <t>Источники данных:</t>
        </is>
      </c>
    </row>
    <row r="22">
      <c r="A22" s="2" t="inlineStr">
        <is>
          <t xml:space="preserve">  • Внутренняя поквартальная отчётность МТС Юрент по 86 субъектам РФ</t>
        </is>
      </c>
    </row>
    <row r="23">
      <c r="A23" s="2" t="inlineStr">
        <is>
          <t xml:space="preserve">    за 2024 и 9 месяцев 2025 (данные эксперта А., руководитель M&amp;A ПАО «МТС»).</t>
        </is>
      </c>
    </row>
    <row r="24">
      <c r="A24" s="2" t="inlineStr">
        <is>
          <t xml:space="preserve">  • Публичная отчётность ПАО «ВУШ Холдинг» по МСФО (9 мес. 2024) — для калибровки</t>
        </is>
      </c>
    </row>
    <row r="25">
      <c r="A25" s="2" t="inlineStr">
        <is>
          <t xml:space="preserve">    OpEx/Выручка и EBITDA-маржи бенчмарк-оператора.</t>
        </is>
      </c>
    </row>
    <row r="26">
      <c r="A26" s="2" t="inlineStr">
        <is>
          <t xml:space="preserve">  • Расчёт по проектному инструменту УПС (§3.2 ВКР).</t>
        </is>
      </c>
    </row>
    <row r="27">
      <c r="A27" s="2" t="inlineStr"/>
    </row>
    <row r="28">
      <c r="A28" s="2" t="inlineStr">
        <is>
          <t>Все статьи с допущениями явно маркированы [ДОПУЩЕНИЕ] в столбце «Источник / допущение».</t>
        </is>
      </c>
    </row>
    <row r="29">
      <c r="A29" s="2" t="inlineStr">
        <is>
          <t>Точная калибровка модели возможна после получения внутренних данных МТС Юрент по</t>
        </is>
      </c>
    </row>
    <row r="30">
      <c r="A30" s="2" t="inlineStr">
        <is>
          <t>операционным издержкам и поведению пользователей; в текущей конфигурации модель</t>
        </is>
      </c>
    </row>
    <row r="31">
      <c r="A31" s="2" t="inlineStr">
        <is>
          <t>обеспечивает оценку порядка величин и направления эффекта.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3" t="inlineStr">
        <is>
          <t>Сырые данные по 5 городам портфеля (источник: эксперт А., внутренняя отчётность МТС Юрент)</t>
        </is>
      </c>
    </row>
    <row r="2" ht="45" customHeight="1">
      <c r="A2" s="4" t="inlineStr">
        <is>
          <t>Город</t>
        </is>
      </c>
      <c r="B2" s="4" t="inlineStr">
        <is>
          <t>Q1 2024 выручка, руб.</t>
        </is>
      </c>
      <c r="C2" s="4" t="inlineStr">
        <is>
          <t>Q2 2024 выручка, руб.</t>
        </is>
      </c>
      <c r="D2" s="4" t="inlineStr">
        <is>
          <t>Q3 2024 выручка, руб.</t>
        </is>
      </c>
      <c r="E2" s="4" t="inlineStr">
        <is>
          <t>Q4 2024 выручка, руб.</t>
        </is>
      </c>
      <c r="F2" s="4" t="inlineStr">
        <is>
          <t>Выручка 2024 итого, руб.</t>
        </is>
      </c>
      <c r="G2" s="4" t="inlineStr">
        <is>
          <t>Q1 2025 выручка, руб.</t>
        </is>
      </c>
      <c r="H2" s="4" t="inlineStr">
        <is>
          <t>Q2 2025 выручка, руб.</t>
        </is>
      </c>
      <c r="I2" s="4" t="inlineStr">
        <is>
          <t>Q3 2025 выручка, руб.</t>
        </is>
      </c>
      <c r="J2" s="4" t="inlineStr">
        <is>
          <t>Выручка 9м 2025 итого, руб.</t>
        </is>
      </c>
      <c r="K2" s="4" t="inlineStr">
        <is>
          <t>Парк на 30.09.2024, шт.</t>
        </is>
      </c>
      <c r="L2" s="4" t="inlineStr">
        <is>
          <t>Парк на 30.09.2025, шт.</t>
        </is>
      </c>
      <c r="M2" s="4" t="inlineStr">
        <is>
          <t>Поездки 2024, шт.</t>
        </is>
      </c>
      <c r="N2" s="4" t="inlineStr">
        <is>
          <t>Поездки 9м 2025, шт.</t>
        </is>
      </c>
      <c r="O2" s="4" t="inlineStr">
        <is>
          <t>Активные польз. 2024</t>
        </is>
      </c>
      <c r="P2" s="4" t="inlineStr">
        <is>
          <t>Активные польз. 9м 2025</t>
        </is>
      </c>
      <c r="Q2" s="4" t="inlineStr">
        <is>
          <t>Средний чек 2024, руб.</t>
        </is>
      </c>
      <c r="R2" s="4" t="inlineStr">
        <is>
          <t>Утилизация 2024, п/с/год</t>
        </is>
      </c>
      <c r="S2" s="4" t="inlineStr">
        <is>
          <t>YoY выручка 9м, %</t>
        </is>
      </c>
      <c r="T2" s="4" t="inlineStr">
        <is>
          <t>YoY поездки 9м, %</t>
        </is>
      </c>
    </row>
    <row r="3">
      <c r="A3" s="5" t="inlineStr">
        <is>
          <t>Москва</t>
        </is>
      </c>
      <c r="B3" s="6" t="n">
        <v>55872229</v>
      </c>
      <c r="C3" s="6" t="n">
        <v>1027831362</v>
      </c>
      <c r="D3" s="6" t="n">
        <v>1137207367</v>
      </c>
      <c r="E3" s="6" t="n">
        <v>405496016</v>
      </c>
      <c r="F3" s="7">
        <f>SUM(B3:E3)</f>
        <v/>
      </c>
      <c r="G3" s="6" t="n">
        <v>105058258</v>
      </c>
      <c r="H3" s="6" t="n">
        <v>781898823</v>
      </c>
      <c r="I3" s="6" t="n">
        <v>1158367553</v>
      </c>
      <c r="J3" s="7">
        <f>SUM(G3:I3)</f>
        <v/>
      </c>
      <c r="K3" s="6" t="n">
        <v>30488</v>
      </c>
      <c r="L3" s="6" t="n">
        <v>34809</v>
      </c>
      <c r="M3" s="6" t="n">
        <v>32700289</v>
      </c>
      <c r="N3" s="6" t="n">
        <v>26027764</v>
      </c>
      <c r="O3" s="6" t="n">
        <v>1668433</v>
      </c>
      <c r="P3" s="6" t="n">
        <v>1455275</v>
      </c>
      <c r="Q3" s="8">
        <f>F3/M3</f>
        <v/>
      </c>
      <c r="R3" s="9">
        <f>M3/K3</f>
        <v/>
      </c>
      <c r="S3" s="10" t="n">
        <v>-7.906049694046313</v>
      </c>
      <c r="T3" s="10" t="n">
        <v>-6.638959885165018</v>
      </c>
    </row>
    <row r="4">
      <c r="A4" s="5" t="inlineStr">
        <is>
          <t>Санкт-Петербург</t>
        </is>
      </c>
      <c r="B4" s="6" t="n">
        <v>15335868</v>
      </c>
      <c r="C4" s="6" t="n">
        <v>157972556</v>
      </c>
      <c r="D4" s="6" t="n">
        <v>215148744</v>
      </c>
      <c r="E4" s="6" t="n">
        <v>86285621</v>
      </c>
      <c r="F4" s="7">
        <f>SUM(B4:E4)</f>
        <v/>
      </c>
      <c r="G4" s="6" t="n">
        <v>24438962</v>
      </c>
      <c r="H4" s="6" t="n">
        <v>206715748</v>
      </c>
      <c r="I4" s="6" t="n">
        <v>316785495</v>
      </c>
      <c r="J4" s="7">
        <f>SUM(G4:I4)</f>
        <v/>
      </c>
      <c r="K4" s="6" t="n">
        <v>9909</v>
      </c>
      <c r="L4" s="6" t="n">
        <v>12987</v>
      </c>
      <c r="M4" s="6" t="n">
        <v>6034374</v>
      </c>
      <c r="N4" s="6" t="n">
        <v>7160192</v>
      </c>
      <c r="O4" s="6" t="n">
        <v>446420</v>
      </c>
      <c r="P4" s="6" t="n">
        <v>366555</v>
      </c>
      <c r="Q4" s="8">
        <f>F4/M4</f>
        <v/>
      </c>
      <c r="R4" s="9">
        <f>M4/K4</f>
        <v/>
      </c>
      <c r="S4" s="10" t="n">
        <v>41.0555011305648</v>
      </c>
      <c r="T4" s="10" t="n">
        <v>42.31219715991428</v>
      </c>
    </row>
    <row r="5">
      <c r="A5" s="5" t="inlineStr">
        <is>
          <t>Краснодар</t>
        </is>
      </c>
      <c r="B5" s="6" t="n">
        <v>104225661</v>
      </c>
      <c r="C5" s="6" t="n">
        <v>215159507</v>
      </c>
      <c r="D5" s="6" t="n">
        <v>369669934</v>
      </c>
      <c r="E5" s="6" t="n">
        <v>161899948</v>
      </c>
      <c r="F5" s="7">
        <f>SUM(B5:E5)</f>
        <v/>
      </c>
      <c r="G5" s="6" t="n">
        <v>111248305</v>
      </c>
      <c r="H5" s="6" t="n">
        <v>216411014</v>
      </c>
      <c r="I5" s="6" t="n">
        <v>322832957</v>
      </c>
      <c r="J5" s="7">
        <f>SUM(G5:I5)</f>
        <v/>
      </c>
      <c r="K5" s="6" t="n">
        <v>14658</v>
      </c>
      <c r="L5" s="6" t="n">
        <v>13923</v>
      </c>
      <c r="M5" s="6" t="n">
        <v>8273234</v>
      </c>
      <c r="N5" s="6" t="n">
        <v>6149400</v>
      </c>
      <c r="O5" s="6" t="n">
        <v>817892</v>
      </c>
      <c r="P5" s="6" t="n">
        <v>608865</v>
      </c>
      <c r="Q5" s="8">
        <f>F5/M5</f>
        <v/>
      </c>
      <c r="R5" s="9">
        <f>M5/K5</f>
        <v/>
      </c>
      <c r="S5" s="10" t="n">
        <v>-5.596479278372724</v>
      </c>
      <c r="T5" s="10" t="n">
        <v>-10.23043686569426</v>
      </c>
    </row>
    <row r="6">
      <c r="A6" s="5" t="inlineStr">
        <is>
          <t>Екатеринбург</t>
        </is>
      </c>
      <c r="B6" s="6" t="n">
        <v>51370</v>
      </c>
      <c r="C6" s="6" t="n">
        <v>46643183</v>
      </c>
      <c r="D6" s="6" t="n">
        <v>88915371</v>
      </c>
      <c r="E6" s="6" t="n">
        <v>17724165</v>
      </c>
      <c r="F6" s="7">
        <f>SUM(B6:E6)</f>
        <v/>
      </c>
      <c r="G6" s="6" t="n">
        <v>8363487</v>
      </c>
      <c r="H6" s="6" t="n">
        <v>73909475</v>
      </c>
      <c r="I6" s="6" t="n">
        <v>47479969</v>
      </c>
      <c r="J6" s="7">
        <f>SUM(G6:I6)</f>
        <v/>
      </c>
      <c r="K6" s="6" t="n">
        <v>6448</v>
      </c>
      <c r="L6" s="6" t="n">
        <v>5966</v>
      </c>
      <c r="M6" s="6" t="n">
        <v>2055959</v>
      </c>
      <c r="N6" s="6" t="n">
        <v>1894839</v>
      </c>
      <c r="O6" s="6" t="n">
        <v>136165</v>
      </c>
      <c r="P6" s="6" t="n">
        <v>113313</v>
      </c>
      <c r="Q6" s="8">
        <f>F6/M6</f>
        <v/>
      </c>
      <c r="R6" s="9">
        <f>M6/K6</f>
        <v/>
      </c>
      <c r="S6" s="10" t="n">
        <v>-4.319000282014763</v>
      </c>
      <c r="T6" s="10" t="n">
        <v>4.149916068372117</v>
      </c>
    </row>
    <row r="7">
      <c r="A7" s="5" t="inlineStr">
        <is>
          <t>Новосибирск</t>
        </is>
      </c>
      <c r="B7" s="6" t="n">
        <v>0</v>
      </c>
      <c r="C7" s="6" t="n">
        <v>3144143</v>
      </c>
      <c r="D7" s="6" t="n">
        <v>50415957</v>
      </c>
      <c r="E7" s="6" t="n">
        <v>11602785</v>
      </c>
      <c r="F7" s="7">
        <f>SUM(B7:E7)</f>
        <v/>
      </c>
      <c r="G7" s="6" t="n">
        <v>2790054</v>
      </c>
      <c r="H7" s="6" t="n">
        <v>65528717</v>
      </c>
      <c r="I7" s="6" t="n">
        <v>61952556</v>
      </c>
      <c r="J7" s="7">
        <f>SUM(G7:I7)</f>
        <v/>
      </c>
      <c r="K7" s="6" t="n">
        <v>2920</v>
      </c>
      <c r="L7" s="6" t="n">
        <v>5568</v>
      </c>
      <c r="M7" s="6" t="n">
        <v>810348</v>
      </c>
      <c r="N7" s="6" t="n">
        <v>1510266</v>
      </c>
      <c r="O7" s="6" t="n">
        <v>79933</v>
      </c>
      <c r="P7" s="6" t="n">
        <v>114777</v>
      </c>
      <c r="Q7" s="8">
        <f>F7/M7</f>
        <v/>
      </c>
      <c r="R7" s="9">
        <f>M7/K7</f>
        <v/>
      </c>
      <c r="S7" s="10" t="n">
        <v>143.2245776240149</v>
      </c>
      <c r="T7" s="10" t="n">
        <v>128.9371003780587</v>
      </c>
    </row>
    <row r="8">
      <c r="A8" s="11" t="inlineStr">
        <is>
          <t>Итого 5 городов</t>
        </is>
      </c>
      <c r="F8" s="7">
        <f>SUM(F3:F7)</f>
        <v/>
      </c>
      <c r="J8" s="7">
        <f>SUM(J3:J7)</f>
        <v/>
      </c>
      <c r="K8" s="7">
        <f>SUM(K3:K7)</f>
        <v/>
      </c>
      <c r="M8" s="7">
        <f>SUM(M3:M7)</f>
        <v/>
      </c>
    </row>
    <row r="10">
      <c r="A10" s="2" t="inlineStr">
        <is>
          <t>Источник: внутренняя поквартальная отчётность МТС Юрент по регионам РФ (эксперт А., данные на 30.09.2025).</t>
        </is>
      </c>
    </row>
    <row r="11">
      <c r="A11" s="2" t="inlineStr">
        <is>
          <t>Выручка — без НДС, включая партнёров и франчайзи на территории РФ.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2" customWidth="1" min="3" max="3"/>
    <col width="18" customWidth="1" min="4" max="4"/>
    <col width="55" customWidth="1" min="5" max="5"/>
  </cols>
  <sheetData>
    <row r="1">
      <c r="A1" s="3" t="inlineStr">
        <is>
          <t>Затраты на реализацию сценария S3 (горизонт 12 месяцев)</t>
        </is>
      </c>
    </row>
    <row r="2" ht="30" customHeight="1">
      <c r="A2" s="12" t="inlineStr">
        <is>
          <t>Блок</t>
        </is>
      </c>
      <c r="B2" s="12" t="inlineStr">
        <is>
          <t>Статья</t>
        </is>
      </c>
      <c r="C2" s="12" t="inlineStr">
        <is>
          <t>Расчёт</t>
        </is>
      </c>
      <c r="D2" s="12" t="inlineStr">
        <is>
          <t>Сумма, тыс. руб./год</t>
        </is>
      </c>
      <c r="E2" s="12" t="inlineStr">
        <is>
          <t>Источник / допущение</t>
        </is>
      </c>
    </row>
    <row r="3">
      <c r="A3" s="13" t="inlineStr">
        <is>
          <t>A. Региональное управление</t>
        </is>
      </c>
      <c r="B3" s="14" t="inlineStr">
        <is>
          <t>3 региональных менеджера</t>
        </is>
      </c>
      <c r="C3" s="15" t="inlineStr">
        <is>
          <t>3 × 350 × 12</t>
        </is>
      </c>
      <c r="D3" s="6" t="n">
        <v>12600</v>
      </c>
      <c r="E3" s="14" t="inlineStr">
        <is>
          <t>ФОТ gross 350 тыс. руб./мес. с налогами и соцпакетом [ДОПУЩЕНИЕ — рыночная вилка для уровня middle management в МТС]</t>
        </is>
      </c>
    </row>
    <row r="4">
      <c r="A4" s="13" t="inlineStr">
        <is>
          <t>A. Региональное управление</t>
        </is>
      </c>
      <c r="B4" s="14" t="inlineStr">
        <is>
          <t>3 региональных аналитика</t>
        </is>
      </c>
      <c r="C4" s="15" t="inlineStr">
        <is>
          <t>3 × 200 × 12</t>
        </is>
      </c>
      <c r="D4" s="6" t="n">
        <v>7200</v>
      </c>
      <c r="E4" s="14" t="inlineStr">
        <is>
          <t>ФОТ gross 200 тыс. руб./мес. [ДОПУЩЕНИЕ — стандартная вилка для аналитиков]</t>
        </is>
      </c>
    </row>
    <row r="5">
      <c r="A5" s="13" t="inlineStr">
        <is>
          <t>A. Региональное управление</t>
        </is>
      </c>
      <c r="B5" s="14" t="inlineStr">
        <is>
          <t>Накладные (командировки, BI-инструменты, рабочие места)</t>
        </is>
      </c>
      <c r="C5" s="15" t="inlineStr">
        <is>
          <t>—</t>
        </is>
      </c>
      <c r="D5" s="6" t="n">
        <v>2000</v>
      </c>
      <c r="E5" s="14" t="inlineStr">
        <is>
          <t>[ДОПУЩЕНИЕ — стандартный коэффициент 10 % к ФОТ]</t>
        </is>
      </c>
    </row>
    <row r="6">
      <c r="A6" s="13" t="inlineStr">
        <is>
          <t>B. Маркетинг S3</t>
        </is>
      </c>
      <c r="B6" s="14" t="inlineStr">
        <is>
          <t>Исследования и креатив для трёх режимных кампаний</t>
        </is>
      </c>
      <c r="C6" s="15" t="inlineStr">
        <is>
          <t>—</t>
        </is>
      </c>
      <c r="D6" s="6" t="n">
        <v>3000</v>
      </c>
      <c r="E6" s="14" t="inlineStr">
        <is>
          <t>[ДОПУЩЕНИЕ — без учёта медиа-инвестиций, которые финансируются из стандартного бюджета]</t>
        </is>
      </c>
    </row>
    <row r="7">
      <c r="A7" s="13" t="inlineStr">
        <is>
          <t>B. Маркетинг S3</t>
        </is>
      </c>
      <c r="B7" s="14" t="inlineStr">
        <is>
          <t>A/B-тестирование, аналитика результатов</t>
        </is>
      </c>
      <c r="C7" s="15" t="inlineStr">
        <is>
          <t>—</t>
        </is>
      </c>
      <c r="D7" s="6" t="n">
        <v>4000</v>
      </c>
      <c r="E7" s="14" t="inlineStr">
        <is>
          <t>[ДОПУЩЕНИЕ]</t>
        </is>
      </c>
    </row>
    <row r="8">
      <c r="A8" s="13" t="inlineStr">
        <is>
          <t>C. УПС-инфраструктура и пилот</t>
        </is>
      </c>
      <c r="B8" s="14" t="inlineStr">
        <is>
          <t>IT-доработки (геозоны, push-таргетинг, движок стимулов, ЛК исполнителя)</t>
        </is>
      </c>
      <c r="C8" s="15" t="inlineStr">
        <is>
          <t>capex однократно</t>
        </is>
      </c>
      <c r="D8" s="6" t="n">
        <v>8000</v>
      </c>
      <c r="E8" s="14" t="inlineStr">
        <is>
          <t>[ДОПУЩЕНИЕ — оценка по аналогии с продуктовыми спринтами]</t>
        </is>
      </c>
    </row>
    <row r="9">
      <c r="A9" s="13" t="inlineStr">
        <is>
          <t>C. УПС-инфраструктура и пилот</t>
        </is>
      </c>
      <c r="B9" s="14" t="inlineStr">
        <is>
          <t>Команда пилота: 1 продакт + 1 аналитик × 6 мес.</t>
        </is>
      </c>
      <c r="C9" s="15" t="inlineStr">
        <is>
          <t>2 × 400 × 6</t>
        </is>
      </c>
      <c r="D9" s="6" t="n">
        <v>4800</v>
      </c>
      <c r="E9" s="14" t="inlineStr">
        <is>
          <t>ФОТ gross 400 тыс. руб./мес. [ДОПУЩЕНИЕ]</t>
        </is>
      </c>
    </row>
    <row r="10">
      <c r="A10" s="13" t="inlineStr">
        <is>
          <t>C. УПС-инфраструктура и пилот</t>
        </is>
      </c>
      <c r="B10" s="14" t="inlineStr">
        <is>
          <t>Бюджет стимулов и микрозаданий (Екб, сезон)</t>
        </is>
      </c>
      <c r="C10" s="15" t="inlineStr">
        <is>
          <t>базовый сценарий §3.2</t>
        </is>
      </c>
      <c r="D10" s="6" t="n">
        <v>2820</v>
      </c>
      <c r="E10" s="14" t="inlineStr">
        <is>
          <t>Расчёт §3.2 ВКР (4,6× ниже стоимости физ. ребалансировки 120 руб./опер.)</t>
        </is>
      </c>
    </row>
    <row r="11">
      <c r="A11" s="13" t="inlineStr">
        <is>
          <t>C. УПС-инфраструктура и пилот</t>
        </is>
      </c>
      <c r="B11" s="14" t="inlineStr">
        <is>
          <t>Резерв и непредвиденные</t>
        </is>
      </c>
      <c r="C11" s="15" t="inlineStr">
        <is>
          <t>—</t>
        </is>
      </c>
      <c r="D11" s="6" t="n">
        <v>380</v>
      </c>
      <c r="E11" s="14" t="inlineStr"/>
    </row>
    <row r="12">
      <c r="A12" s="13" t="inlineStr">
        <is>
          <t>D. Накладные и обучение</t>
        </is>
      </c>
      <c r="B12" s="14" t="inlineStr">
        <is>
          <t>Обучение региональных менеджеров и аналитиков</t>
        </is>
      </c>
      <c r="C12" s="15" t="inlineStr">
        <is>
          <t>—</t>
        </is>
      </c>
      <c r="D12" s="6" t="n">
        <v>1500</v>
      </c>
      <c r="E12" s="14" t="inlineStr">
        <is>
          <t>[ДОПУЩЕНИЕ]</t>
        </is>
      </c>
    </row>
    <row r="13">
      <c r="A13" s="13" t="inlineStr">
        <is>
          <t>D. Накладные и обучение</t>
        </is>
      </c>
      <c r="B13" s="14" t="inlineStr">
        <is>
          <t>Управленческий резерв</t>
        </is>
      </c>
      <c r="C13" s="15" t="inlineStr">
        <is>
          <t>—</t>
        </is>
      </c>
      <c r="D13" s="6" t="n">
        <v>1500</v>
      </c>
      <c r="E13" s="14" t="inlineStr">
        <is>
          <t>[ДОПУЩЕНИЕ]</t>
        </is>
      </c>
    </row>
    <row r="14">
      <c r="A14" s="11" t="inlineStr">
        <is>
          <t>ИТОГО затраты S3, год 1</t>
        </is>
      </c>
      <c r="D14" s="7">
        <f>SUM(D3:D13)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35" customWidth="1" min="3" max="3"/>
    <col width="50" customWidth="1" min="4" max="4"/>
    <col width="22" customWidth="1" min="5" max="5"/>
    <col width="40" customWidth="1" min="6" max="6"/>
  </cols>
  <sheetData>
    <row r="1">
      <c r="A1" s="3" t="inlineStr">
        <is>
          <t>Эффекты сценария S3 (горизонт 12 месяцев)</t>
        </is>
      </c>
    </row>
    <row r="2" ht="30" customHeight="1">
      <c r="A2" s="12" t="inlineStr">
        <is>
          <t>Эффект</t>
        </is>
      </c>
      <c r="B2" s="12" t="inlineStr">
        <is>
          <t>Город / кластер</t>
        </is>
      </c>
      <c r="C2" s="12" t="inlineStr">
        <is>
          <t>База расчёта</t>
        </is>
      </c>
      <c r="D2" s="12" t="inlineStr">
        <is>
          <t>Параметр / допущение</t>
        </is>
      </c>
      <c r="E2" s="12" t="inlineStr">
        <is>
          <t>EBITDA-эффект, тыс. руб.</t>
        </is>
      </c>
      <c r="F2" s="12" t="inlineStr">
        <is>
          <t>Источник</t>
        </is>
      </c>
    </row>
    <row r="3">
      <c r="A3" s="13" t="inlineStr">
        <is>
          <t>Эффект 1. R2 атака: прирост выручки</t>
        </is>
      </c>
      <c r="B3" s="13" t="inlineStr">
        <is>
          <t>СПб + Екб + Крд + Нск</t>
        </is>
      </c>
      <c r="C3" s="13" t="inlineStr">
        <is>
          <t>Выручка 2024 R2-портфеля: 1,544 млн руб.</t>
        </is>
      </c>
      <c r="D3" s="13" t="inlineStr">
        <is>
          <t>+3 п.п. к темпу выручки YoY (диапазон 1–5 п.п.) × EBITDA-маржа 25 %</t>
        </is>
      </c>
      <c r="E3" s="16">
        <f>1544195*0.03*0.25</f>
        <v/>
      </c>
      <c r="F3" s="13" t="inlineStr">
        <is>
          <t>§3.4 ВКР; [ДОПУЩЕНИЕ] о приросте темпа</t>
        </is>
      </c>
    </row>
    <row r="4">
      <c r="A4" s="13" t="inlineStr">
        <is>
          <t>Эффект 2. УПС-пилот Екатеринбург</t>
        </is>
      </c>
      <c r="B4" s="13" t="inlineStr">
        <is>
          <t>Екатеринбург</t>
        </is>
      </c>
      <c r="C4" s="13" t="inlineStr">
        <is>
          <t>Парк 6448, утилизация 319, средний чек 75 руб.</t>
        </is>
      </c>
      <c r="D4" s="13" t="inlineStr">
        <is>
          <t>Замещение 20 % ребалансировки стимулами (базовый сценарий §3.2)</t>
        </is>
      </c>
      <c r="E4" s="16" t="n">
        <v>9790</v>
      </c>
      <c r="F4" s="13" t="inlineStr">
        <is>
          <t>§3.2 ВКР: 4,48 млн экономии + 8,14 млн доп. выручки – 2,82 млн стимулы</t>
        </is>
      </c>
    </row>
    <row r="5">
      <c r="A5" s="13" t="inlineStr">
        <is>
          <t>Эффект 3. R3 Москва: оптимизация OpEx</t>
        </is>
      </c>
      <c r="B5" s="13" t="inlineStr">
        <is>
          <t>Москва</t>
        </is>
      </c>
      <c r="C5" s="13" t="inlineStr">
        <is>
          <t>Выручка 2024 Москвы: 2,626 млн руб.</t>
        </is>
      </c>
      <c r="D5" s="13" t="inlineStr">
        <is>
          <t>Снижение OpEx на 2 % от выручки рынка (диапазон 1–3 %)</t>
        </is>
      </c>
      <c r="E5" s="16">
        <f>2626407*0.02</f>
        <v/>
      </c>
      <c r="F5" s="13" t="inlineStr">
        <is>
          <t>§3.4 ВКР; [ДОПУЩЕНИЕ] о глубине оптимизации</t>
        </is>
      </c>
    </row>
    <row r="6">
      <c r="A6" s="13" t="inlineStr">
        <is>
          <t>Эффект 4. R1 малые города: экономия капвложений</t>
        </is>
      </c>
      <c r="B6" s="13" t="inlineStr">
        <is>
          <t>Малые города</t>
        </is>
      </c>
      <c r="C6" s="13" t="inlineStr">
        <is>
          <t>За пределами портфеля 5 городов</t>
        </is>
      </c>
      <c r="D6" s="13" t="inlineStr">
        <is>
          <t>~10 млн руб. экономии капвложений (диапазон 5–20)</t>
        </is>
      </c>
      <c r="E6" s="16" t="n">
        <v>3000</v>
      </c>
      <c r="F6" s="13" t="inlineStr">
        <is>
          <t>§3.4 ВКР; [ДОПУЩЕНИЕ]</t>
        </is>
      </c>
    </row>
    <row r="7">
      <c r="A7" s="11" t="inlineStr">
        <is>
          <t>ИТОГО эффект S3, год 1</t>
        </is>
      </c>
      <c r="E7" s="7">
        <f>SUM(E3:E6)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50" customWidth="1" min="3" max="3"/>
  </cols>
  <sheetData>
    <row r="1">
      <c r="A1" s="1" t="inlineStr">
        <is>
          <t>Сводная финансовая модель S3 (год 1)</t>
        </is>
      </c>
    </row>
    <row r="2">
      <c r="A2" s="17" t="inlineStr">
        <is>
          <t>Статья</t>
        </is>
      </c>
      <c r="B2" s="17" t="inlineStr">
        <is>
          <t>Млн руб.</t>
        </is>
      </c>
      <c r="C2" s="17" t="inlineStr">
        <is>
          <t>Источник</t>
        </is>
      </c>
    </row>
    <row r="3">
      <c r="A3" s="13" t="inlineStr">
        <is>
          <t>Затраты, всего</t>
        </is>
      </c>
      <c r="B3" s="18">
        <f>-Затраты!D14/1000</f>
        <v/>
      </c>
      <c r="C3" s="19" t="inlineStr">
        <is>
          <t>Лист «Затраты», итого</t>
        </is>
      </c>
    </row>
    <row r="4">
      <c r="A4" s="13" t="inlineStr">
        <is>
          <t>Эффект 1. R2-прирост выручки (СПб, Екб, Крд, Нск)</t>
        </is>
      </c>
      <c r="B4" s="20">
        <f>Эффекты!E3/1000</f>
        <v/>
      </c>
      <c r="C4" s="19" t="inlineStr">
        <is>
          <t>+3 п.п. × выручка R2 × EBITDA 25 %</t>
        </is>
      </c>
    </row>
    <row r="5">
      <c r="A5" s="13" t="inlineStr">
        <is>
          <t>Эффект 2. УПС-пилот Екатеринбург</t>
        </is>
      </c>
      <c r="B5" s="20">
        <f>Эффекты!E4/1000</f>
        <v/>
      </c>
      <c r="C5" s="19" t="inlineStr">
        <is>
          <t>§3.2, базовый сценарий</t>
        </is>
      </c>
    </row>
    <row r="6">
      <c r="A6" s="13" t="inlineStr">
        <is>
          <t>Эффект 3. R3 Москва: оптимизация OpEx</t>
        </is>
      </c>
      <c r="B6" s="20">
        <f>Эффекты!E5/1000</f>
        <v/>
      </c>
      <c r="C6" s="19" t="inlineStr">
        <is>
          <t>2 % выручки Москвы</t>
        </is>
      </c>
    </row>
    <row r="7">
      <c r="A7" s="13" t="inlineStr">
        <is>
          <t>Эффект 4. R1 малые города: экономия капвложений</t>
        </is>
      </c>
      <c r="B7" s="20">
        <f>Эффекты!E6/1000</f>
        <v/>
      </c>
      <c r="C7" s="19" t="inlineStr">
        <is>
          <t>Защита от нерентабельных инвестиций</t>
        </is>
      </c>
    </row>
    <row r="8">
      <c r="A8" s="11" t="inlineStr">
        <is>
          <t>Эффект, всего</t>
        </is>
      </c>
      <c r="B8" s="21">
        <f>SUM(B4:B7)</f>
        <v/>
      </c>
    </row>
    <row r="9" ht="25" customHeight="1">
      <c r="A9" s="22" t="inlineStr">
        <is>
          <t>ЧИСТЫЙ ЭФФЕКТ S3 vs S1, год 1</t>
        </is>
      </c>
      <c r="B9" s="23">
        <f>B3+SUM(B4:B7)</f>
        <v/>
      </c>
    </row>
    <row r="12">
      <c r="A12" s="24" t="inlineStr">
        <is>
          <t>Прогноз год 2 (тиражирование УПС на СПб, Крд, Нск)</t>
        </is>
      </c>
      <c r="B12" s="25" t="n"/>
      <c r="C12" s="26" t="n"/>
    </row>
    <row r="13">
      <c r="A13" s="13" t="inlineStr">
        <is>
          <t>Затраты год 2 (без capex УПС, +0 capex)</t>
        </is>
      </c>
      <c r="B13" s="18" t="n">
        <v>-37</v>
      </c>
      <c r="C13" s="19" t="inlineStr">
        <is>
          <t>A + B + D + операционная часть C</t>
        </is>
      </c>
    </row>
    <row r="14">
      <c r="A14" s="13" t="inlineStr">
        <is>
          <t>Эффект 1 расширенный (R2-темпы +5 п.п.)</t>
        </is>
      </c>
      <c r="B14" s="20" t="n">
        <v>19.3</v>
      </c>
      <c r="C14" s="19" t="inlineStr">
        <is>
          <t>5 п.п. × выручка R2-портфеля × 25 %</t>
        </is>
      </c>
    </row>
    <row r="15">
      <c r="A15" s="13" t="inlineStr">
        <is>
          <t>Эффект 2 расширенный (УПС в 4 городах R2)</t>
        </is>
      </c>
      <c r="B15" s="20" t="n">
        <v>50</v>
      </c>
      <c r="C15" s="19" t="inlineStr">
        <is>
          <t>Тиражирование §3.2 на СПб, Крд, Нск ≈ 5× базы пилота</t>
        </is>
      </c>
    </row>
    <row r="16">
      <c r="A16" s="13" t="inlineStr">
        <is>
          <t>Эффект 3 (R3 Москва, год 2)</t>
        </is>
      </c>
      <c r="B16" s="20" t="n">
        <v>55</v>
      </c>
      <c r="C16" s="19" t="inlineStr">
        <is>
          <t>Углубление оптимизации до 2,1 % от выручки</t>
        </is>
      </c>
    </row>
    <row r="17">
      <c r="A17" s="13" t="inlineStr">
        <is>
          <t>Эффект 4 (R1 малые города)</t>
        </is>
      </c>
      <c r="B17" s="20" t="n">
        <v>5</v>
      </c>
      <c r="C17" s="19" t="inlineStr">
        <is>
          <t>Расширение применения каркаса</t>
        </is>
      </c>
    </row>
    <row r="18" ht="25" customHeight="1">
      <c r="A18" s="22" t="inlineStr">
        <is>
          <t>ЧИСТЫЙ ЭФФЕКТ S3 vs S1, год 2</t>
        </is>
      </c>
      <c r="B18" s="23">
        <f>SUM(B13:B17)</f>
        <v/>
      </c>
    </row>
  </sheetData>
  <mergeCells count="2">
    <mergeCell ref="A1:C1"/>
    <mergeCell ref="A12:C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50" customWidth="1" min="5" max="5"/>
  </cols>
  <sheetData>
    <row r="1">
      <c r="A1" s="3" t="inlineStr">
        <is>
          <t>Сценарии чувствительности чистого эффекта S3 (год 1)</t>
        </is>
      </c>
    </row>
    <row r="2">
      <c r="A2" s="17" t="inlineStr">
        <is>
          <t>Параметр</t>
        </is>
      </c>
      <c r="B2" s="17" t="inlineStr">
        <is>
          <t>Консервативный</t>
        </is>
      </c>
      <c r="C2" s="17" t="inlineStr">
        <is>
          <t>Базовый</t>
        </is>
      </c>
      <c r="D2" s="17" t="inlineStr">
        <is>
          <t>Оптимистичный</t>
        </is>
      </c>
      <c r="E2" s="17" t="inlineStr">
        <is>
          <t>Комментарий</t>
        </is>
      </c>
    </row>
    <row r="3">
      <c r="A3" s="13" t="inlineStr">
        <is>
          <t>Прирост темпа R2 выручки, п.п.</t>
        </is>
      </c>
      <c r="B3" s="13" t="n">
        <v>1</v>
      </c>
      <c r="C3" s="11" t="n">
        <v>3</v>
      </c>
      <c r="D3" s="13" t="n">
        <v>5</v>
      </c>
      <c r="E3" s="19" t="inlineStr">
        <is>
          <t>Допущение о силе эффекта дифференциации</t>
        </is>
      </c>
    </row>
    <row r="4">
      <c r="A4" s="13" t="inlineStr">
        <is>
          <t>Замещение ребалансировки УПС, %</t>
        </is>
      </c>
      <c r="B4" s="13" t="n">
        <v>10</v>
      </c>
      <c r="C4" s="11" t="n">
        <v>20</v>
      </c>
      <c r="D4" s="13" t="n">
        <v>30</v>
      </c>
      <c r="E4" s="19" t="inlineStr">
        <is>
          <t>Сценарии A/B/C из §3.2</t>
        </is>
      </c>
    </row>
    <row r="5">
      <c r="A5" s="13" t="inlineStr">
        <is>
          <t>Оптимизация OpEx Москвы, %</t>
        </is>
      </c>
      <c r="B5" s="13" t="n">
        <v>1</v>
      </c>
      <c r="C5" s="11" t="n">
        <v>2</v>
      </c>
      <c r="D5" s="13" t="n">
        <v>3</v>
      </c>
      <c r="E5" s="19" t="inlineStr">
        <is>
          <t>Глубина рычагов R3 в Москве</t>
        </is>
      </c>
    </row>
    <row r="6">
      <c r="A6" s="13" t="inlineStr">
        <is>
          <t>Экономия капвложений малые города, млн руб./год</t>
        </is>
      </c>
      <c r="B6" s="13" t="n">
        <v>5</v>
      </c>
      <c r="C6" s="11" t="n">
        <v>10</v>
      </c>
      <c r="D6" s="13" t="n">
        <v>20</v>
      </c>
      <c r="E6" s="19" t="inlineStr">
        <is>
          <t>Темпы расширения портфеля</t>
        </is>
      </c>
    </row>
    <row r="8">
      <c r="A8" s="13" t="inlineStr">
        <is>
          <t>Эффект 1 (R2 темпы)</t>
        </is>
      </c>
      <c r="B8" s="10">
        <f>ROUND(1544.194813*B3/100*0.25,1)</f>
        <v/>
      </c>
      <c r="C8" s="27">
        <f>ROUND(1544.194813*C3/100*0.25,1)</f>
        <v/>
      </c>
      <c r="D8" s="10">
        <f>ROUND(1544.194813*D3/100*0.25,1)</f>
        <v/>
      </c>
    </row>
    <row r="9">
      <c r="A9" s="13" t="inlineStr">
        <is>
          <t>Эффект 2 (УПС-пилот Екб)</t>
        </is>
      </c>
      <c r="B9" s="10">
        <f>ROUND(B4/20*9.79,1)</f>
        <v/>
      </c>
      <c r="C9" s="27">
        <f>ROUND(C4/20*9.79,1)</f>
        <v/>
      </c>
      <c r="D9" s="10">
        <f>ROUND(D4/20*9.79,1)</f>
        <v/>
      </c>
    </row>
    <row r="10">
      <c r="A10" s="13" t="inlineStr">
        <is>
          <t>Эффект 3 (R3 Москва оптимизация)</t>
        </is>
      </c>
      <c r="B10" s="10">
        <f>ROUND(2626.406974*B5/100,1)</f>
        <v/>
      </c>
      <c r="C10" s="27">
        <f>ROUND(2626.406974*C5/100,1)</f>
        <v/>
      </c>
      <c r="D10" s="10">
        <f>ROUND(2626.406974*D5/100,1)</f>
        <v/>
      </c>
    </row>
    <row r="11">
      <c r="A11" s="13" t="inlineStr">
        <is>
          <t>Эффект 4 (R1 малые города)</t>
        </is>
      </c>
      <c r="B11" s="10">
        <f>ROUND(B6*0.3,1)</f>
        <v/>
      </c>
      <c r="C11" s="27">
        <f>ROUND(C6*0.3,1)</f>
        <v/>
      </c>
      <c r="D11" s="10">
        <f>ROUND(D6*0.3,1)</f>
        <v/>
      </c>
    </row>
    <row r="12">
      <c r="A12" s="13" t="inlineStr">
        <is>
          <t>Затраты S3</t>
        </is>
      </c>
      <c r="B12" s="10" t="n">
        <v>-48</v>
      </c>
      <c r="C12" s="28" t="n">
        <v>-48</v>
      </c>
      <c r="D12" s="10" t="n">
        <v>-48</v>
      </c>
    </row>
    <row r="13" ht="22" customHeight="1">
      <c r="A13" s="29" t="inlineStr">
        <is>
          <t>ЧИСТЫЙ ЭФФЕКТ S3, год 1, млн руб.</t>
        </is>
      </c>
      <c r="B13" s="30">
        <f>SUM(B8:B12)</f>
        <v/>
      </c>
      <c r="C13" s="30">
        <f>SUM(C8:C12)</f>
        <v/>
      </c>
      <c r="D13" s="30">
        <f>SUM(D8:D12)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55" customWidth="1" min="3" max="3"/>
  </cols>
  <sheetData>
    <row r="1">
      <c r="A1" s="3" t="inlineStr">
        <is>
          <t>Детальный расчёт пилота УПС в Екатеринбурге (§3.2 ВКР)</t>
        </is>
      </c>
    </row>
    <row r="2">
      <c r="A2" s="17" t="inlineStr">
        <is>
          <t>Параметр</t>
        </is>
      </c>
      <c r="B2" s="17" t="inlineStr">
        <is>
          <t>Значение</t>
        </is>
      </c>
      <c r="C2" s="17" t="inlineStr">
        <is>
          <t>Источник / расчёт</t>
        </is>
      </c>
    </row>
    <row r="3">
      <c r="A3" s="13" t="inlineStr">
        <is>
          <t>Парк Екб 2024 (на 30.09)</t>
        </is>
      </c>
      <c r="B3" s="6" t="n">
        <v>6448</v>
      </c>
      <c r="C3" s="19" t="inlineStr">
        <is>
          <t>эксперт А.</t>
        </is>
      </c>
    </row>
    <row r="4">
      <c r="A4" s="13" t="inlineStr">
        <is>
          <t>Поездки Екб за сезон Q2+Q3 2024, шт.</t>
        </is>
      </c>
      <c r="B4" s="6" t="n">
        <v>1819014</v>
      </c>
      <c r="C4" s="19" t="inlineStr">
        <is>
          <t>эксперт А. (Q2 565936 + Q3 1253078)</t>
        </is>
      </c>
    </row>
    <row r="5">
      <c r="A5" s="13" t="inlineStr">
        <is>
          <t>Средний чек Екб 2024, руб.</t>
        </is>
      </c>
      <c r="B5" s="6" t="n">
        <v>75</v>
      </c>
      <c r="C5" s="19" t="inlineStr">
        <is>
          <t>выручка/поездки 2024 ≈ 74,6 руб.</t>
        </is>
      </c>
    </row>
    <row r="6">
      <c r="A6" s="13" t="inlineStr">
        <is>
          <t>Утилизация 2024, поездок/самокат/год</t>
        </is>
      </c>
      <c r="B6" s="6" t="n">
        <v>319</v>
      </c>
      <c r="C6" s="19" t="inlineStr">
        <is>
          <t>поездки/парк</t>
        </is>
      </c>
    </row>
    <row r="7">
      <c r="A7" s="13" t="inlineStr">
        <is>
          <t>OpEx/Выручка для оператора-преследователя, %</t>
        </is>
      </c>
      <c r="B7" s="6" t="n">
        <v>55</v>
      </c>
      <c r="C7" s="19" t="inlineStr">
        <is>
          <t>Whoosh 48 % + 7 п.п. поправка на масштаб</t>
        </is>
      </c>
    </row>
    <row r="8">
      <c r="A8" s="13" t="inlineStr">
        <is>
          <t>Доля ребалансировки в OpEx, %</t>
        </is>
      </c>
      <c r="B8" s="6" t="n">
        <v>30</v>
      </c>
      <c r="C8" s="19" t="inlineStr">
        <is>
          <t>[ДОПУЩЕНИЕ] аналогично исследованиям микромобильности</t>
        </is>
      </c>
    </row>
    <row r="9">
      <c r="A9" s="13" t="inlineStr">
        <is>
          <t>Стоимость физ. ребалансировки, руб./опер.</t>
        </is>
      </c>
      <c r="B9" s="6" t="n">
        <v>120</v>
      </c>
      <c r="C9" s="19" t="inlineStr">
        <is>
          <t>[ДОПУЩЕНИЕ — отраслевая оценка, требует калибровки]</t>
        </is>
      </c>
    </row>
    <row r="10">
      <c r="A10" s="13" t="inlineStr">
        <is>
          <t>Базовое число операций ребалансировки за сезон</t>
        </is>
      </c>
      <c r="B10" s="6">
        <f>B4/24</f>
        <v/>
      </c>
      <c r="C10" s="19" t="inlineStr">
        <is>
          <t>≈ 1 операция на 24 поездки [допущение]</t>
        </is>
      </c>
    </row>
    <row r="11">
      <c r="A11" s="13" t="inlineStr">
        <is>
          <t>Замещение ребалансировки стимулами, % (база)</t>
        </is>
      </c>
      <c r="B11" s="6" t="n">
        <v>20</v>
      </c>
      <c r="C11" s="19" t="inlineStr">
        <is>
          <t>Базовый сценарий</t>
        </is>
      </c>
    </row>
    <row r="12">
      <c r="A12" s="13" t="inlineStr">
        <is>
          <t>Число замещённых операций</t>
        </is>
      </c>
      <c r="B12" s="6">
        <f>B11*B12/100</f>
        <v/>
      </c>
      <c r="C12" s="19" t="inlineStr"/>
    </row>
    <row r="13">
      <c r="A13" s="13" t="inlineStr">
        <is>
          <t>Стоимость стимула-высадка, руб.</t>
        </is>
      </c>
      <c r="B13" s="6" t="n">
        <v>15</v>
      </c>
      <c r="C13" s="19" t="inlineStr">
        <is>
          <t>50 % случаев</t>
        </is>
      </c>
    </row>
    <row r="14">
      <c r="A14" s="13" t="inlineStr">
        <is>
          <t>Стоимость стимула-посадка, руб.</t>
        </is>
      </c>
      <c r="B14" s="6" t="n">
        <v>10</v>
      </c>
      <c r="C14" s="19" t="inlineStr">
        <is>
          <t>30 % случаев</t>
        </is>
      </c>
    </row>
    <row r="15">
      <c r="A15" s="13" t="inlineStr">
        <is>
          <t>Стоимость внешнего исполнителя, руб.</t>
        </is>
      </c>
      <c r="B15" s="6" t="n">
        <v>80</v>
      </c>
      <c r="C15" s="19" t="inlineStr">
        <is>
          <t>20 % случаев (дальние перемещения)</t>
        </is>
      </c>
    </row>
    <row r="16">
      <c r="A16" s="13" t="inlineStr">
        <is>
          <t>Средневзвешенная стоимость стимула, руб./опер.</t>
        </is>
      </c>
      <c r="B16" s="6">
        <f>B14*0.5+B15*0.3+B16*0.2</f>
        <v/>
      </c>
      <c r="C16" s="19" t="inlineStr">
        <is>
          <t>Сумма с весами</t>
        </is>
      </c>
    </row>
    <row r="17">
      <c r="A17" s="13" t="inlineStr">
        <is>
          <t>Соотношение «ребалансировка/стимул»</t>
        </is>
      </c>
      <c r="B17" s="6">
        <f>B10/B17</f>
        <v/>
      </c>
      <c r="C17" s="19" t="inlineStr">
        <is>
          <t>Множитель эффективности замещения</t>
        </is>
      </c>
    </row>
    <row r="18">
      <c r="A18" s="13" t="inlineStr"/>
      <c r="B18" s="6" t="inlineStr"/>
      <c r="C18" s="19" t="inlineStr"/>
    </row>
    <row r="19">
      <c r="A19" s="13" t="inlineStr">
        <is>
          <t>Экономия на замещении ребалансировки, тыс. руб.</t>
        </is>
      </c>
      <c r="B19" s="6">
        <f>ROUND((B13*B10-B13*B17)/1000,0)</f>
        <v/>
      </c>
      <c r="C19" s="19" t="inlineStr">
        <is>
          <t>Экономия = разница стоимостей × число операций</t>
        </is>
      </c>
    </row>
    <row r="20">
      <c r="A20" s="13" t="inlineStr">
        <is>
          <t>Прирост восстановленных поездок, %</t>
        </is>
      </c>
      <c r="B20" s="6" t="n">
        <v>6</v>
      </c>
      <c r="C20" s="19" t="inlineStr">
        <is>
          <t>[ДОПУЩЕНИЕ] доля чувствительных микролокаций</t>
        </is>
      </c>
    </row>
    <row r="21">
      <c r="A21" s="13" t="inlineStr">
        <is>
          <t>Дополнительная выручка, тыс. руб.</t>
        </is>
      </c>
      <c r="B21" s="6">
        <f>ROUND(B4*B20/100*B5/1000,0)</f>
        <v/>
      </c>
      <c r="C21" s="19" t="inlineStr">
        <is>
          <t>0,06 × поездки × чек</t>
        </is>
      </c>
    </row>
    <row r="22">
      <c r="A22" s="13" t="inlineStr">
        <is>
          <t>Расходы на стимулы, тыс. руб.</t>
        </is>
      </c>
      <c r="B22" s="6">
        <f>ROUND(B13*B17/1000,0)</f>
        <v/>
      </c>
      <c r="C22" s="19" t="inlineStr">
        <is>
          <t>Стимул × операции</t>
        </is>
      </c>
    </row>
    <row r="23">
      <c r="A23" s="31" t="inlineStr">
        <is>
          <t>ЧИСТЫЙ ЭФФЕКТ УПС (базовый сценарий), тыс. руб.</t>
        </is>
      </c>
      <c r="B23" s="32">
        <f>B19+B21-B22</f>
        <v/>
      </c>
      <c r="C23" s="19" t="inlineStr">
        <is>
          <t>§3.2: 4480 + 8140 – 2820 = 9 790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2026-05-19T11:23:01Z</dcterms:created>
  <dcterms:modified xmlns:dcterms="http://purl.org/dc/terms/" xmlns:xsi="http://www.w3.org/2001/XMLSchema-instance" xsi:type="dcterms:W3CDTF">2026-05-19T11:23:01Z</dcterms:modified>
</cp:coreProperties>
</file>