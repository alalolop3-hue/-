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Данные_Юрент" sheetId="2" state="visible" r:id="rId2"/>
    <sheet xmlns:r="http://schemas.openxmlformats.org/officeDocument/2006/relationships" name="Затраты" sheetId="3" state="visible" r:id="rId3"/>
    <sheet xmlns:r="http://schemas.openxmlformats.org/officeDocument/2006/relationships" name="УПС_расчёт" sheetId="4" state="visible" r:id="rId4"/>
    <sheet xmlns:r="http://schemas.openxmlformats.org/officeDocument/2006/relationships" name="Эффекты" sheetId="5" state="visible" r:id="rId5"/>
    <sheet xmlns:r="http://schemas.openxmlformats.org/officeDocument/2006/relationships" name="Сводная_финмодель" sheetId="6" state="visible" r:id="rId6"/>
    <sheet xmlns:r="http://schemas.openxmlformats.org/officeDocument/2006/relationships" name="Чувствительность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+0.0;-0.0;0.0"/>
    <numFmt numFmtId="166" formatCode="0&quot; %&quot;"/>
    <numFmt numFmtId="167" formatCode="+#,##0.0;-#,##0.0;0.0"/>
  </numFmts>
  <fonts count="6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sz val="11"/>
    </font>
    <font>
      <name val="Times New Roman"/>
      <b val="1"/>
      <color rgb="00FFFFFF"/>
      <sz val="12"/>
    </font>
    <font>
      <name val="Times New Roman"/>
      <b val="1"/>
      <sz val="11"/>
    </font>
    <font>
      <name val="Times New Roman"/>
      <b val="1"/>
      <sz val="13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D9E2F3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pivotButton="0" quotePrefix="0" xfId="0"/>
    <xf numFmtId="3" fontId="4" fillId="3" borderId="1" pivotButton="0" quotePrefix="0" xfId="0"/>
    <xf numFmtId="164" fontId="4" fillId="0" borderId="1" pivotButton="0" quotePrefix="0" xfId="0"/>
    <xf numFmtId="1" fontId="4" fillId="0" borderId="1" pivotButton="0" quotePrefix="0" xfId="0"/>
    <xf numFmtId="165" fontId="4" fillId="0" borderId="1" pivotButton="0" quotePrefix="0" xfId="0"/>
    <xf numFmtId="0" fontId="4" fillId="3" borderId="1" pivotButton="0" quotePrefix="0" xfId="0"/>
    <xf numFmtId="164" fontId="4" fillId="3" borderId="1" pivotButton="0" quotePrefix="0" xfId="0"/>
    <xf numFmtId="1" fontId="4" fillId="3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5" fillId="4" borderId="1" pivotButton="0" quotePrefix="0" xfId="0"/>
    <xf numFmtId="3" fontId="5" fillId="4" borderId="1" pivotButton="0" quotePrefix="0" xfId="0"/>
    <xf numFmtId="0" fontId="4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center" wrapText="1"/>
    </xf>
    <xf numFmtId="166" fontId="2" fillId="0" borderId="1" pivotButton="0" quotePrefix="0" xfId="0"/>
    <xf numFmtId="3" fontId="4" fillId="4" borderId="1" pivotButton="0" quotePrefix="0" xfId="0"/>
    <xf numFmtId="0" fontId="3" fillId="2" borderId="1" applyAlignment="1" pivotButton="0" quotePrefix="0" xfId="0">
      <alignment horizontal="center"/>
    </xf>
    <xf numFmtId="0" fontId="5" fillId="5" borderId="1" pivotButton="0" quotePrefix="0" xfId="0"/>
    <xf numFmtId="167" fontId="4" fillId="6" borderId="1" pivotButton="0" quotePrefix="0" xfId="0"/>
    <xf numFmtId="167" fontId="4" fillId="4" borderId="1" pivotButton="0" quotePrefix="0" xfId="0"/>
    <xf numFmtId="167" fontId="4" fillId="3" borderId="1" pivotButton="0" quotePrefix="0" xfId="0"/>
    <xf numFmtId="0" fontId="5" fillId="3" borderId="1" pivotButton="0" quotePrefix="0" xfId="0"/>
    <xf numFmtId="167" fontId="5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5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Финансовая модель сценария S3 — приложение к ВКР</t>
        </is>
      </c>
    </row>
    <row r="2">
      <c r="A2" s="2" t="inlineStr"/>
    </row>
    <row r="3">
      <c r="A3" s="2" t="inlineStr">
        <is>
          <t>Автор: [ФИО студента], ВКР НИУ ВШЭ, 2026 г.</t>
        </is>
      </c>
    </row>
    <row r="4">
      <c r="A4" s="2" t="inlineStr"/>
    </row>
    <row r="5">
      <c r="A5" s="2" t="inlineStr">
        <is>
          <t>Финансовая модель сценария S3 (диверсификация режимов МТС Юрент) на горизонте 12 и 24 мес.</t>
        </is>
      </c>
    </row>
    <row r="6">
      <c r="A6" s="2" t="inlineStr">
        <is>
          <t>Все значения предвычислены и записаны в ячейках напрямую — формулы в колонке «Расчёт» как текст</t>
        </is>
      </c>
    </row>
    <row r="7">
      <c r="A7" s="2" t="inlineStr">
        <is>
          <t>для прозрачности (избегаем проблем с русской локалью Excel).</t>
        </is>
      </c>
    </row>
    <row r="8">
      <c r="A8" s="2" t="inlineStr"/>
    </row>
    <row r="9">
      <c r="A9" s="2" t="inlineStr">
        <is>
          <t>Источники данных:</t>
        </is>
      </c>
    </row>
    <row r="10">
      <c r="A10" s="2" t="inlineStr">
        <is>
          <t xml:space="preserve">  • Внутренняя поквартальная отчётность МТС Юрент по 86 субъектам РФ за 2024 г. и 9 мес. 2025 г.</t>
        </is>
      </c>
    </row>
    <row r="11">
      <c r="A11" s="2" t="inlineStr">
        <is>
          <t xml:space="preserve">    (эксперт А., руководитель подразделения M&amp;A ПАО «МТС»).</t>
        </is>
      </c>
    </row>
    <row r="12">
      <c r="A12" s="2" t="inlineStr">
        <is>
          <t xml:space="preserve">  • Публичная отчётность ПАО «ВУШ Холдинг» по МСФО (9 мес. 2024) — бенчмарк OpEx и EBITDA.</t>
        </is>
      </c>
    </row>
    <row r="13">
      <c r="A13" s="2" t="inlineStr">
        <is>
          <t xml:space="preserve">  • Расчёт по проектному инструменту УПС (§3.2 ВКР).</t>
        </is>
      </c>
    </row>
    <row r="14">
      <c r="A14" s="2" t="inlineStr"/>
    </row>
    <row r="15">
      <c r="A15" s="2" t="inlineStr">
        <is>
          <t>Ключевые показатели сценария S3 (см. лист «Сводная_финмодель»):</t>
        </is>
      </c>
    </row>
    <row r="16">
      <c r="A16" s="2" t="inlineStr">
        <is>
          <t xml:space="preserve">  • Год 1: затраты –48 млн руб., эффекты +73 млн руб., чистый эффект +25 млн руб.</t>
        </is>
      </c>
    </row>
    <row r="17">
      <c r="A17" s="2" t="inlineStr">
        <is>
          <t xml:space="preserve">  • Год 2: затраты –37 млн руб., эффекты +115–135 млн руб., чистый эффект +80…+100 млн руб.</t>
        </is>
      </c>
    </row>
    <row r="18">
      <c r="A18" s="2" t="inlineStr">
        <is>
          <t xml:space="preserve">  • Сценарии чувствительности год 1: –10 / +25 / +85 млн руб.</t>
        </is>
      </c>
    </row>
    <row r="19">
      <c r="A19" s="2" t="inlineStr"/>
    </row>
    <row r="20">
      <c r="A20" s="2" t="inlineStr">
        <is>
          <t>Допущения, требующие калибровки на этапе пилота:</t>
        </is>
      </c>
    </row>
    <row r="21">
      <c r="A21" s="2" t="inlineStr">
        <is>
          <t xml:space="preserve">  — прирост темпа выручки R2-городов от дифференциации: 1–5 п.п. (база 3);</t>
        </is>
      </c>
    </row>
    <row r="22">
      <c r="A22" s="2" t="inlineStr">
        <is>
          <t xml:space="preserve">  — доля замещения физической ребалансировки стимулами: 10–30 % (база 20 %);</t>
        </is>
      </c>
    </row>
    <row r="23">
      <c r="A23" s="2" t="inlineStr">
        <is>
          <t xml:space="preserve">  — стоимость физической ребалансировки 120 руб./операция (данные эксперта А.);</t>
        </is>
      </c>
    </row>
    <row r="24">
      <c r="A24" s="2" t="inlineStr">
        <is>
          <t xml:space="preserve">  — доля ребалансировки в OpEx ≈ 30 % (по аналогии с международными данными);</t>
        </is>
      </c>
    </row>
    <row r="25">
      <c r="A25" s="2" t="inlineStr">
        <is>
          <t xml:space="preserve">  — снижение OpEx Москвы в R3: 1–3 % от выручки (база 2 %).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" t="inlineStr">
        <is>
          <t>Сырые данные по 5 городам портфеля (источник: эксперт А., внутренняя отчётность МТС Юрент)</t>
        </is>
      </c>
    </row>
    <row r="2" ht="50" customHeight="1">
      <c r="A2" s="3" t="inlineStr">
        <is>
          <t>Город</t>
        </is>
      </c>
      <c r="B2" s="3" t="inlineStr">
        <is>
          <t>Q1 2024 выручка, руб.</t>
        </is>
      </c>
      <c r="C2" s="3" t="inlineStr">
        <is>
          <t>Q2 2024</t>
        </is>
      </c>
      <c r="D2" s="3" t="inlineStr">
        <is>
          <t>Q3 2024</t>
        </is>
      </c>
      <c r="E2" s="3" t="inlineStr">
        <is>
          <t>Q4 2024</t>
        </is>
      </c>
      <c r="F2" s="3" t="inlineStr">
        <is>
          <t>Выручка 2024 итого</t>
        </is>
      </c>
      <c r="G2" s="3" t="inlineStr">
        <is>
          <t>Q1 2025</t>
        </is>
      </c>
      <c r="H2" s="3" t="inlineStr">
        <is>
          <t>Q2 2025</t>
        </is>
      </c>
      <c r="I2" s="3" t="inlineStr">
        <is>
          <t>Q3 2025</t>
        </is>
      </c>
      <c r="J2" s="3" t="inlineStr">
        <is>
          <t>Выручка 9м 2025 итого</t>
        </is>
      </c>
      <c r="K2" s="3" t="inlineStr">
        <is>
          <t>Парк 30.09.2024</t>
        </is>
      </c>
      <c r="L2" s="3" t="inlineStr">
        <is>
          <t>Парк 30.09.2025</t>
        </is>
      </c>
      <c r="M2" s="3" t="inlineStr">
        <is>
          <t>Поездки 2024</t>
        </is>
      </c>
      <c r="N2" s="3" t="inlineStr">
        <is>
          <t>Поездки 9м 2025</t>
        </is>
      </c>
      <c r="O2" s="3" t="inlineStr">
        <is>
          <t>Активные 2024</t>
        </is>
      </c>
      <c r="P2" s="3" t="inlineStr">
        <is>
          <t>Активные 9м 2025</t>
        </is>
      </c>
      <c r="Q2" s="3" t="inlineStr">
        <is>
          <t>Средний чек 2024, руб.</t>
        </is>
      </c>
      <c r="R2" s="3" t="inlineStr">
        <is>
          <t>Утилизация 2024, п/с/год</t>
        </is>
      </c>
      <c r="S2" s="3" t="inlineStr">
        <is>
          <t>YoY выручка 9м, %</t>
        </is>
      </c>
      <c r="T2" s="3" t="inlineStr">
        <is>
          <t>YoY поездки 9м, %</t>
        </is>
      </c>
    </row>
    <row r="3">
      <c r="A3" s="4" t="inlineStr">
        <is>
          <t>Москва</t>
        </is>
      </c>
      <c r="B3" s="5" t="n">
        <v>55872229</v>
      </c>
      <c r="C3" s="5" t="n">
        <v>1027831362</v>
      </c>
      <c r="D3" s="5" t="n">
        <v>1137207367</v>
      </c>
      <c r="E3" s="5" t="n">
        <v>405496016</v>
      </c>
      <c r="F3" s="6" t="n">
        <v>2626406974</v>
      </c>
      <c r="G3" s="5" t="n">
        <v>105058258</v>
      </c>
      <c r="H3" s="5" t="n">
        <v>781898823</v>
      </c>
      <c r="I3" s="5" t="n">
        <v>1158367553</v>
      </c>
      <c r="J3" s="6" t="n">
        <v>2045324634</v>
      </c>
      <c r="K3" s="5" t="n">
        <v>30488</v>
      </c>
      <c r="L3" s="5" t="n">
        <v>34809</v>
      </c>
      <c r="M3" s="5" t="n">
        <v>32700289</v>
      </c>
      <c r="N3" s="5" t="n">
        <v>26027764</v>
      </c>
      <c r="O3" s="5" t="n">
        <v>1668433</v>
      </c>
      <c r="P3" s="5" t="n">
        <v>1455275</v>
      </c>
      <c r="Q3" s="7" t="n">
        <v>80.3</v>
      </c>
      <c r="R3" s="8" t="n">
        <v>1073</v>
      </c>
      <c r="S3" s="9" t="n">
        <v>-7.9</v>
      </c>
      <c r="T3" s="9" t="n">
        <v>-6.6</v>
      </c>
    </row>
    <row r="4">
      <c r="A4" s="4" t="inlineStr">
        <is>
          <t>Санкт-Петербург</t>
        </is>
      </c>
      <c r="B4" s="5" t="n">
        <v>15335868</v>
      </c>
      <c r="C4" s="5" t="n">
        <v>157972556</v>
      </c>
      <c r="D4" s="5" t="n">
        <v>215148744</v>
      </c>
      <c r="E4" s="5" t="n">
        <v>86285621</v>
      </c>
      <c r="F4" s="6" t="n">
        <v>474742789</v>
      </c>
      <c r="G4" s="5" t="n">
        <v>24438962</v>
      </c>
      <c r="H4" s="5" t="n">
        <v>206715748</v>
      </c>
      <c r="I4" s="5" t="n">
        <v>316785495</v>
      </c>
      <c r="J4" s="6" t="n">
        <v>547940205</v>
      </c>
      <c r="K4" s="5" t="n">
        <v>9909</v>
      </c>
      <c r="L4" s="5" t="n">
        <v>12987</v>
      </c>
      <c r="M4" s="5" t="n">
        <v>6034374</v>
      </c>
      <c r="N4" s="5" t="n">
        <v>7160192</v>
      </c>
      <c r="O4" s="5" t="n">
        <v>446420</v>
      </c>
      <c r="P4" s="5" t="n">
        <v>366555</v>
      </c>
      <c r="Q4" s="7" t="n">
        <v>78.7</v>
      </c>
      <c r="R4" s="8" t="n">
        <v>609</v>
      </c>
      <c r="S4" s="9" t="n">
        <v>41.1</v>
      </c>
      <c r="T4" s="9" t="n">
        <v>42.3</v>
      </c>
    </row>
    <row r="5">
      <c r="A5" s="4" t="inlineStr">
        <is>
          <t>Краснодар</t>
        </is>
      </c>
      <c r="B5" s="5" t="n">
        <v>104225661</v>
      </c>
      <c r="C5" s="5" t="n">
        <v>215159507</v>
      </c>
      <c r="D5" s="5" t="n">
        <v>369669934</v>
      </c>
      <c r="E5" s="5" t="n">
        <v>161899948</v>
      </c>
      <c r="F5" s="6" t="n">
        <v>850955050</v>
      </c>
      <c r="G5" s="5" t="n">
        <v>111248305</v>
      </c>
      <c r="H5" s="5" t="n">
        <v>216411014</v>
      </c>
      <c r="I5" s="5" t="n">
        <v>322832957</v>
      </c>
      <c r="J5" s="6" t="n">
        <v>650492276</v>
      </c>
      <c r="K5" s="5" t="n">
        <v>14658</v>
      </c>
      <c r="L5" s="5" t="n">
        <v>13923</v>
      </c>
      <c r="M5" s="5" t="n">
        <v>8273234</v>
      </c>
      <c r="N5" s="5" t="n">
        <v>6149400</v>
      </c>
      <c r="O5" s="5" t="n">
        <v>817892</v>
      </c>
      <c r="P5" s="5" t="n">
        <v>608865</v>
      </c>
      <c r="Q5" s="7" t="n">
        <v>102.9</v>
      </c>
      <c r="R5" s="8" t="n">
        <v>564</v>
      </c>
      <c r="S5" s="9" t="n">
        <v>-5.6</v>
      </c>
      <c r="T5" s="9" t="n">
        <v>-10.2</v>
      </c>
    </row>
    <row r="6">
      <c r="A6" s="4" t="inlineStr">
        <is>
          <t>Екатеринбург</t>
        </is>
      </c>
      <c r="B6" s="5" t="n">
        <v>51370</v>
      </c>
      <c r="C6" s="5" t="n">
        <v>46643183</v>
      </c>
      <c r="D6" s="5" t="n">
        <v>88915371</v>
      </c>
      <c r="E6" s="5" t="n">
        <v>17724165</v>
      </c>
      <c r="F6" s="6" t="n">
        <v>153334089</v>
      </c>
      <c r="G6" s="5" t="n">
        <v>8363487</v>
      </c>
      <c r="H6" s="5" t="n">
        <v>73909475</v>
      </c>
      <c r="I6" s="5" t="n">
        <v>47479969</v>
      </c>
      <c r="J6" s="6" t="n">
        <v>129752931</v>
      </c>
      <c r="K6" s="5" t="n">
        <v>6448</v>
      </c>
      <c r="L6" s="5" t="n">
        <v>5966</v>
      </c>
      <c r="M6" s="5" t="n">
        <v>2055959</v>
      </c>
      <c r="N6" s="5" t="n">
        <v>1894839</v>
      </c>
      <c r="O6" s="5" t="n">
        <v>136165</v>
      </c>
      <c r="P6" s="5" t="n">
        <v>113313</v>
      </c>
      <c r="Q6" s="7" t="n">
        <v>74.59999999999999</v>
      </c>
      <c r="R6" s="8" t="n">
        <v>319</v>
      </c>
      <c r="S6" s="9" t="n">
        <v>-4.3</v>
      </c>
      <c r="T6" s="9" t="n">
        <v>4.1</v>
      </c>
    </row>
    <row r="7">
      <c r="A7" s="4" t="inlineStr">
        <is>
          <t>Новосибирск</t>
        </is>
      </c>
      <c r="B7" s="5" t="n">
        <v>0</v>
      </c>
      <c r="C7" s="5" t="n">
        <v>3144143</v>
      </c>
      <c r="D7" s="5" t="n">
        <v>50415957</v>
      </c>
      <c r="E7" s="5" t="n">
        <v>11602785</v>
      </c>
      <c r="F7" s="6" t="n">
        <v>65162885</v>
      </c>
      <c r="G7" s="5" t="n">
        <v>2790054</v>
      </c>
      <c r="H7" s="5" t="n">
        <v>65528717</v>
      </c>
      <c r="I7" s="5" t="n">
        <v>61952556</v>
      </c>
      <c r="J7" s="6" t="n">
        <v>130271327</v>
      </c>
      <c r="K7" s="5" t="n">
        <v>2920</v>
      </c>
      <c r="L7" s="5" t="n">
        <v>5568</v>
      </c>
      <c r="M7" s="5" t="n">
        <v>810348</v>
      </c>
      <c r="N7" s="5" t="n">
        <v>1510266</v>
      </c>
      <c r="O7" s="5" t="n">
        <v>79933</v>
      </c>
      <c r="P7" s="5" t="n">
        <v>114777</v>
      </c>
      <c r="Q7" s="7" t="n">
        <v>80.40000000000001</v>
      </c>
      <c r="R7" s="8" t="n">
        <v>278</v>
      </c>
      <c r="S7" s="9" t="n">
        <v>143.2</v>
      </c>
      <c r="T7" s="9" t="n">
        <v>128.9</v>
      </c>
    </row>
    <row r="8">
      <c r="A8" s="10" t="inlineStr">
        <is>
          <t>Итого 5 городов</t>
        </is>
      </c>
      <c r="F8" s="6" t="n">
        <v>4170601787</v>
      </c>
      <c r="J8" s="6" t="n">
        <v>3503781373</v>
      </c>
      <c r="K8" s="6" t="n">
        <v>64423</v>
      </c>
      <c r="L8" s="6" t="n">
        <v>73253</v>
      </c>
      <c r="M8" s="6" t="n">
        <v>49874204</v>
      </c>
      <c r="N8" s="6" t="n">
        <v>42742461</v>
      </c>
      <c r="O8" s="6" t="n">
        <v>3148843</v>
      </c>
      <c r="P8" s="6" t="n">
        <v>2658785</v>
      </c>
      <c r="Q8" s="11" t="n">
        <v>83.59999999999999</v>
      </c>
      <c r="R8" s="12" t="n">
        <v>774</v>
      </c>
    </row>
  </sheetData>
  <mergeCells count="1">
    <mergeCell ref="A1:U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8" customWidth="1" min="1" max="1"/>
    <col width="45" customWidth="1" min="2" max="2"/>
    <col width="22" customWidth="1" min="3" max="3"/>
    <col width="22" customWidth="1" min="4" max="4"/>
    <col width="55" customWidth="1" min="5" max="5"/>
  </cols>
  <sheetData>
    <row r="1">
      <c r="A1" s="1" t="inlineStr">
        <is>
          <t>Затраты на реализацию сценария S3 (горизонт 12 месяцев)</t>
        </is>
      </c>
    </row>
    <row r="2" ht="30" customHeight="1">
      <c r="A2" s="3" t="inlineStr">
        <is>
          <t>Блок</t>
        </is>
      </c>
      <c r="B2" s="3" t="inlineStr">
        <is>
          <t>Статья</t>
        </is>
      </c>
      <c r="C2" s="3" t="inlineStr">
        <is>
          <t>Расчёт</t>
        </is>
      </c>
      <c r="D2" s="3" t="inlineStr">
        <is>
          <t>Сумма, тыс. руб./год</t>
        </is>
      </c>
      <c r="E2" s="3" t="inlineStr">
        <is>
          <t>Источник / допущение</t>
        </is>
      </c>
    </row>
    <row r="3">
      <c r="A3" s="13" t="inlineStr">
        <is>
          <t>A. Региональное управление</t>
        </is>
      </c>
      <c r="B3" s="14" t="inlineStr">
        <is>
          <t>3 региональных менеджера по кластерам режимов</t>
        </is>
      </c>
      <c r="C3" s="15" t="inlineStr">
        <is>
          <t>3 × 350 × 12</t>
        </is>
      </c>
      <c r="D3" s="5" t="n">
        <v>12600</v>
      </c>
      <c r="E3" s="14" t="inlineStr">
        <is>
          <t>ФОТ gross 350 тыс. руб./мес. [ДОПУЩЕНИЕ — рыночная вилка]</t>
        </is>
      </c>
    </row>
    <row r="4">
      <c r="A4" s="13" t="inlineStr">
        <is>
          <t>A. Региональное управление</t>
        </is>
      </c>
      <c r="B4" s="14" t="inlineStr">
        <is>
          <t>3 региональных аналитика</t>
        </is>
      </c>
      <c r="C4" s="15" t="inlineStr">
        <is>
          <t>3 × 200 × 12</t>
        </is>
      </c>
      <c r="D4" s="5" t="n">
        <v>7200</v>
      </c>
      <c r="E4" s="14" t="inlineStr">
        <is>
          <t>ФОТ gross 200 тыс. руб./мес. [ДОПУЩЕНИЕ]</t>
        </is>
      </c>
    </row>
    <row r="5">
      <c r="A5" s="13" t="inlineStr">
        <is>
          <t>A. Региональное управление</t>
        </is>
      </c>
      <c r="B5" s="14" t="inlineStr">
        <is>
          <t>Накладные (командировки, BI-инструменты, рабочие места)</t>
        </is>
      </c>
      <c r="C5" s="15" t="inlineStr">
        <is>
          <t>~10% от ФОТ</t>
        </is>
      </c>
      <c r="D5" s="5" t="n">
        <v>2000</v>
      </c>
      <c r="E5" s="14" t="inlineStr">
        <is>
          <t>[ДОПУЩЕНИЕ]</t>
        </is>
      </c>
    </row>
    <row r="6">
      <c r="A6" s="13" t="inlineStr">
        <is>
          <t>B. Маркетинг S3</t>
        </is>
      </c>
      <c r="B6" s="14" t="inlineStr">
        <is>
          <t>Исследования и креатив для трёх режимных кампаний</t>
        </is>
      </c>
      <c r="C6" s="15" t="inlineStr">
        <is>
          <t>—</t>
        </is>
      </c>
      <c r="D6" s="5" t="n">
        <v>3000</v>
      </c>
      <c r="E6" s="14" t="inlineStr">
        <is>
          <t>[ДОПУЩЕНИЕ — без медиа-инвестиций]</t>
        </is>
      </c>
    </row>
    <row r="7">
      <c r="A7" s="13" t="inlineStr">
        <is>
          <t>B. Маркетинг S3</t>
        </is>
      </c>
      <c r="B7" s="14" t="inlineStr">
        <is>
          <t>A/B-тестирование, аналитика результатов</t>
        </is>
      </c>
      <c r="C7" s="15" t="inlineStr">
        <is>
          <t>—</t>
        </is>
      </c>
      <c r="D7" s="5" t="n">
        <v>4000</v>
      </c>
      <c r="E7" s="14" t="inlineStr">
        <is>
          <t>[ДОПУЩЕНИЕ]</t>
        </is>
      </c>
    </row>
    <row r="8">
      <c r="A8" s="13" t="inlineStr">
        <is>
          <t>C. УПС-инфраструктура и пилот</t>
        </is>
      </c>
      <c r="B8" s="14" t="inlineStr">
        <is>
          <t>IT-доработки (геозоны, push-таргетинг, движок стимулов, ЛК исполнителя)</t>
        </is>
      </c>
      <c r="C8" s="15" t="inlineStr">
        <is>
          <t>capex однократно</t>
        </is>
      </c>
      <c r="D8" s="5" t="n">
        <v>8000</v>
      </c>
      <c r="E8" s="14" t="inlineStr">
        <is>
          <t>[ДОПУЩЕНИЕ — оценка по аналогии с продуктовыми спринтами]</t>
        </is>
      </c>
    </row>
    <row r="9">
      <c r="A9" s="13" t="inlineStr">
        <is>
          <t>C. УПС-инфраструктура и пилот</t>
        </is>
      </c>
      <c r="B9" s="14" t="inlineStr">
        <is>
          <t>Команда пилота: 1 продакт + 1 аналитик × 6 мес.</t>
        </is>
      </c>
      <c r="C9" s="15" t="inlineStr">
        <is>
          <t>2 × 400 × 6</t>
        </is>
      </c>
      <c r="D9" s="5" t="n">
        <v>4800</v>
      </c>
      <c r="E9" s="14" t="inlineStr">
        <is>
          <t>ФОТ gross 400 тыс. руб./мес. [ДОПУЩЕНИЕ]</t>
        </is>
      </c>
    </row>
    <row r="10">
      <c r="A10" s="13" t="inlineStr">
        <is>
          <t>C. УПС-инфраструктура и пилот</t>
        </is>
      </c>
      <c r="B10" s="14" t="inlineStr">
        <is>
          <t>Бюджет стимулов и микрозаданий в Екб за сезон</t>
        </is>
      </c>
      <c r="C10" s="15" t="inlineStr">
        <is>
          <t>базовый сценарий §3.2</t>
        </is>
      </c>
      <c r="D10" s="5" t="n">
        <v>1000</v>
      </c>
      <c r="E10" s="14" t="inlineStr">
        <is>
          <t>§3.2: 26,5 руб./опер × 37 500 замещ. операций</t>
        </is>
      </c>
    </row>
    <row r="11">
      <c r="A11" s="13" t="inlineStr">
        <is>
          <t>C. УПС-инфраструктура и пилот</t>
        </is>
      </c>
      <c r="B11" s="14" t="inlineStr">
        <is>
          <t>Резерв на масштабирование стимульной кампании</t>
        </is>
      </c>
      <c r="C11" s="15" t="inlineStr">
        <is>
          <t>—</t>
        </is>
      </c>
      <c r="D11" s="5" t="n">
        <v>2200</v>
      </c>
      <c r="E11" s="14" t="inlineStr">
        <is>
          <t>[ДОПУЩЕНИЕ]</t>
        </is>
      </c>
    </row>
    <row r="12">
      <c r="A12" s="13" t="inlineStr">
        <is>
          <t>D. Накладные и обучение</t>
        </is>
      </c>
      <c r="B12" s="14" t="inlineStr">
        <is>
          <t>Обучение региональных менеджеров и аналитиков</t>
        </is>
      </c>
      <c r="C12" s="15" t="inlineStr">
        <is>
          <t>—</t>
        </is>
      </c>
      <c r="D12" s="5" t="n">
        <v>1500</v>
      </c>
      <c r="E12" s="14" t="inlineStr">
        <is>
          <t>[ДОПУЩЕНИЕ]</t>
        </is>
      </c>
    </row>
    <row r="13">
      <c r="A13" s="13" t="inlineStr">
        <is>
          <t>D. Накладные и обучение</t>
        </is>
      </c>
      <c r="B13" s="14" t="inlineStr">
        <is>
          <t>Управленческий резерв</t>
        </is>
      </c>
      <c r="C13" s="15" t="inlineStr">
        <is>
          <t>—</t>
        </is>
      </c>
      <c r="D13" s="5" t="n">
        <v>1500</v>
      </c>
      <c r="E13" s="14" t="inlineStr">
        <is>
          <t>[ДОПУЩЕНИЕ]</t>
        </is>
      </c>
    </row>
    <row r="14">
      <c r="A14" s="10" t="inlineStr">
        <is>
          <t>ИТОГО затраты S3, год 1, тыс. руб.</t>
        </is>
      </c>
      <c r="D14" s="6" t="n">
        <v>47800</v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6" customWidth="1" min="1" max="1"/>
    <col width="58" customWidth="1" min="2" max="2"/>
    <col width="22" customWidth="1" min="3" max="3"/>
    <col width="70" customWidth="1" min="4" max="4"/>
  </cols>
  <sheetData>
    <row r="1">
      <c r="A1" s="1" t="inlineStr">
        <is>
          <t>Детальный расчёт пилота УПС в Екатеринбурге (соответствует §3.2 ВКР)</t>
        </is>
      </c>
    </row>
    <row r="2" ht="30" customHeight="1">
      <c r="A2" s="3" t="inlineStr">
        <is>
          <t>№</t>
        </is>
      </c>
      <c r="B2" s="3" t="inlineStr">
        <is>
          <t>Параметр</t>
        </is>
      </c>
      <c r="C2" s="3" t="inlineStr">
        <is>
          <t>Значение</t>
        </is>
      </c>
      <c r="D2" s="3" t="inlineStr">
        <is>
          <t>Расчёт / источник</t>
        </is>
      </c>
    </row>
    <row r="3">
      <c r="A3" s="15" t="n">
        <v>1</v>
      </c>
      <c r="B3" s="13" t="inlineStr">
        <is>
          <t>Парк Екб на 30.09.2024, шт.</t>
        </is>
      </c>
      <c r="C3" s="5" t="n">
        <v>6448</v>
      </c>
      <c r="D3" s="16" t="inlineStr">
        <is>
          <t>данные эксперта А.</t>
        </is>
      </c>
    </row>
    <row r="4">
      <c r="A4" s="15" t="n">
        <v>2</v>
      </c>
      <c r="B4" s="13" t="inlineStr">
        <is>
          <t>Поездки Екб за сезон Q2+Q3 2024, шт.</t>
        </is>
      </c>
      <c r="C4" s="5" t="n">
        <v>1819014</v>
      </c>
      <c r="D4" s="16" t="inlineStr">
        <is>
          <t>данные эксперта А. (Q2 565 936 + Q3 1 253 078)</t>
        </is>
      </c>
    </row>
    <row r="5">
      <c r="A5" s="15" t="n">
        <v>3</v>
      </c>
      <c r="B5" s="13" t="inlineStr">
        <is>
          <t>Средний чек Екб 2024, руб.</t>
        </is>
      </c>
      <c r="C5" s="5" t="n">
        <v>75</v>
      </c>
      <c r="D5" s="16" t="inlineStr">
        <is>
          <t>выручка/поездки 2024 ≈ 74,6 руб. (данные эксперта А.)</t>
        </is>
      </c>
    </row>
    <row r="6">
      <c r="A6" s="15" t="n">
        <v>4</v>
      </c>
      <c r="B6" s="13" t="inlineStr">
        <is>
          <t>Утилизация 2024, поездок/самокат/год</t>
        </is>
      </c>
      <c r="C6" s="5" t="n">
        <v>319</v>
      </c>
      <c r="D6" s="16" t="inlineStr">
        <is>
          <t>поездки 2024 / парк (данные эксперта А.)</t>
        </is>
      </c>
    </row>
    <row r="7">
      <c r="A7" s="15" t="n">
        <v>5</v>
      </c>
      <c r="B7" s="13" t="inlineStr">
        <is>
          <t>OpEx / Выручка, %</t>
        </is>
      </c>
      <c r="C7" s="5" t="n">
        <v>55</v>
      </c>
      <c r="D7" s="16" t="inlineStr">
        <is>
          <t>Whoosh 48 % (МСФО, 9 мес. 2024) + 7 п.п. поправка на масштаб</t>
        </is>
      </c>
    </row>
    <row r="8">
      <c r="A8" s="15" t="n">
        <v>6</v>
      </c>
      <c r="B8" s="13" t="inlineStr">
        <is>
          <t>Доля ребалансировки в OpEx, %</t>
        </is>
      </c>
      <c r="C8" s="5" t="n">
        <v>30</v>
      </c>
      <c r="D8" s="16" t="inlineStr">
        <is>
          <t>[ДОПУЩЕНИЕ — по аналогии с международными исследованиями]</t>
        </is>
      </c>
    </row>
    <row r="9">
      <c r="A9" s="15" t="n">
        <v>7</v>
      </c>
      <c r="B9" s="13" t="inlineStr">
        <is>
          <t>Стоимость физической ребалансировки, руб./операция</t>
        </is>
      </c>
      <c r="C9" s="5" t="n">
        <v>120</v>
      </c>
      <c r="D9" s="16" t="inlineStr">
        <is>
          <t>Данные эксперта А. — стоимость одной операции переноса</t>
        </is>
      </c>
    </row>
    <row r="10">
      <c r="A10" s="15" t="n">
        <v>8</v>
      </c>
      <c r="B10" s="13" t="inlineStr">
        <is>
          <t>Стимул на стороне точки высадки, руб.</t>
        </is>
      </c>
      <c r="C10" s="5" t="n">
        <v>15</v>
      </c>
      <c r="D10" s="16" t="inlineStr">
        <is>
          <t>[ДОПУЩЕНИЕ; доля случаев 50 %]</t>
        </is>
      </c>
    </row>
    <row r="11">
      <c r="A11" s="15" t="n">
        <v>9</v>
      </c>
      <c r="B11" s="13" t="inlineStr">
        <is>
          <t>Стимул на стороне точки посадки, руб.</t>
        </is>
      </c>
      <c r="C11" s="5" t="n">
        <v>10</v>
      </c>
      <c r="D11" s="16" t="inlineStr">
        <is>
          <t>[ДОПУЩЕНИЕ; доля случаев 30 %]</t>
        </is>
      </c>
    </row>
    <row r="12">
      <c r="A12" s="15" t="n">
        <v>10</v>
      </c>
      <c r="B12" s="13" t="inlineStr">
        <is>
          <t>Стимул внешнему исполнителю, руб.</t>
        </is>
      </c>
      <c r="C12" s="5" t="n">
        <v>80</v>
      </c>
      <c r="D12" s="16" t="inlineStr">
        <is>
          <t>[ДОПУЩЕНИЕ; доля случаев 20 %]</t>
        </is>
      </c>
    </row>
    <row r="13">
      <c r="A13" s="15" t="n">
        <v>11</v>
      </c>
      <c r="B13" s="13" t="inlineStr">
        <is>
          <t>Средневзвешенная стоимость стимула, руб./операция</t>
        </is>
      </c>
      <c r="C13" s="6" t="n">
        <v>26.5</v>
      </c>
      <c r="D13" s="16">
        <f> 15×0,5 + 10×0,3 + 80×0,2 = 26.5</f>
        <v/>
      </c>
    </row>
    <row r="14">
      <c r="A14" s="15" t="n">
        <v>12</v>
      </c>
      <c r="B14" s="13" t="inlineStr">
        <is>
          <t>Замещение ребалансировки стимулами, % (базовый сценарий B)</t>
        </is>
      </c>
      <c r="C14" s="5" t="n">
        <v>20</v>
      </c>
      <c r="D14" s="16" t="inlineStr">
        <is>
          <t>§3.2: A=10%, B=20%, C=30%</t>
        </is>
      </c>
    </row>
    <row r="15">
      <c r="A15" s="15" t="n">
        <v>13</v>
      </c>
      <c r="B15" s="13" t="inlineStr">
        <is>
          <t>Прирост восстановленных поездок в пилотных зонах, %</t>
        </is>
      </c>
      <c r="C15" s="5" t="n">
        <v>6</v>
      </c>
      <c r="D15" s="16" t="inlineStr">
        <is>
          <t>[ДОПУЩЕНИЕ — доля чувствительных микролокаций]</t>
        </is>
      </c>
    </row>
    <row r="17">
      <c r="A17" s="15" t="n">
        <v>14</v>
      </c>
      <c r="B17" s="13" t="inlineStr">
        <is>
          <t>Выручка Екб за сезон Q2+Q3, тыс. руб.</t>
        </is>
      </c>
      <c r="C17" s="6" t="n">
        <v>136426</v>
      </c>
      <c r="D17" s="16">
        <f> поездки × чек / 1000 = 1819014 × 75 / 1000 ≈ 136,426</f>
        <v/>
      </c>
    </row>
    <row r="18">
      <c r="A18" s="15" t="n">
        <v>15</v>
      </c>
      <c r="B18" s="13" t="inlineStr">
        <is>
          <t>OpEx сезона, тыс. руб.</t>
        </is>
      </c>
      <c r="C18" s="6" t="n">
        <v>75034</v>
      </c>
      <c r="D18" s="16">
        <f> 136,426 × 55% ≈ 75,034</f>
        <v/>
      </c>
    </row>
    <row r="19">
      <c r="A19" s="15" t="n">
        <v>16</v>
      </c>
      <c r="B19" s="13" t="inlineStr">
        <is>
          <t>Расходы на физ. ребалансировку (сезон), тыс. руб.</t>
        </is>
      </c>
      <c r="C19" s="6" t="n">
        <v>22510</v>
      </c>
      <c r="D19" s="16">
        <f> 75,034 × 30% ≈ 22,510</f>
        <v/>
      </c>
    </row>
    <row r="20">
      <c r="A20" s="15" t="n">
        <v>17</v>
      </c>
      <c r="B20" s="13" t="inlineStr">
        <is>
          <t>Базовое число операций физ. ребалансировки за сезон</t>
        </is>
      </c>
      <c r="C20" s="6" t="n">
        <v>187586</v>
      </c>
      <c r="D20" s="16">
        <f> 22,510×1000 / 120 ≈ 187,586</f>
        <v/>
      </c>
    </row>
    <row r="21">
      <c r="A21" s="15" t="n">
        <v>18</v>
      </c>
      <c r="B21" s="13" t="inlineStr">
        <is>
          <t>Число замещённых операций (базовый B)</t>
        </is>
      </c>
      <c r="C21" s="6" t="n">
        <v>37517</v>
      </c>
      <c r="D21" s="16">
        <f> 187,586 × 20% ≈ 37,517</f>
        <v/>
      </c>
    </row>
    <row r="23">
      <c r="A23" s="15" t="n">
        <v>19</v>
      </c>
      <c r="B23" s="13" t="inlineStr">
        <is>
          <t>Чистая экономия от замещения, тыс. руб.</t>
        </is>
      </c>
      <c r="C23" s="6" t="n">
        <v>3508</v>
      </c>
      <c r="D23" s="16">
        <f> (120–26.5) × 37,517 / 1000 ≈ 3,508</f>
        <v/>
      </c>
    </row>
    <row r="24">
      <c r="A24" s="15" t="n">
        <v>20</v>
      </c>
      <c r="B24" s="13" t="inlineStr">
        <is>
          <t>Дополнительная выручка от восстановленных поездок, тыс. руб.</t>
        </is>
      </c>
      <c r="C24" s="6" t="n">
        <v>8186</v>
      </c>
      <c r="D24" s="16">
        <f> 1819014 × 6% × 75 / 1000 ≈ 8,186</f>
        <v/>
      </c>
    </row>
    <row r="26" ht="22" customHeight="1">
      <c r="A26" s="15" t="n">
        <v>21</v>
      </c>
      <c r="B26" s="17" t="inlineStr">
        <is>
          <t>ЧИСТЫЙ ЭФФЕКТ УПС (денежный, базовый B), тыс. руб.</t>
        </is>
      </c>
      <c r="C26" s="18" t="n">
        <v>11693</v>
      </c>
      <c r="D26" s="16">
        <f> 3,508 + 8,186 ≈ 11,693</f>
        <v/>
      </c>
    </row>
    <row r="27" ht="22" customHeight="1">
      <c r="A27" s="15" t="n">
        <v>22</v>
      </c>
      <c r="B27" s="17" t="inlineStr">
        <is>
          <t>EBITDA-эффект УПС (для финмодели §3.4), тыс. руб.</t>
        </is>
      </c>
      <c r="C27" s="18" t="n">
        <v>5554</v>
      </c>
      <c r="D27" s="16">
        <f> экономия (уже EBITDA) + доп. выручка × 25% маржа = 3,508 + 2,046 ≈ 5,554</f>
        <v/>
      </c>
    </row>
    <row r="29">
      <c r="A29" s="19" t="inlineStr">
        <is>
          <t>Сценарии чувствительности УПС</t>
        </is>
      </c>
      <c r="B29" s="20" t="n"/>
      <c r="C29" s="20" t="n"/>
      <c r="D29" s="21" t="n"/>
    </row>
    <row r="30">
      <c r="A30" s="22" t="inlineStr">
        <is>
          <t>Сценарий</t>
        </is>
      </c>
      <c r="B30" s="22" t="inlineStr">
        <is>
          <t>Замещение, %</t>
        </is>
      </c>
      <c r="C30" s="22" t="inlineStr">
        <is>
          <t>Прирост поездок, %</t>
        </is>
      </c>
      <c r="D30" s="22" t="inlineStr">
        <is>
          <t>Чистый эффект (денежный), тыс. руб.</t>
        </is>
      </c>
    </row>
    <row r="31">
      <c r="A31" s="13" t="inlineStr">
        <is>
          <t>A. Консервативный</t>
        </is>
      </c>
      <c r="B31" s="23" t="n">
        <v>10</v>
      </c>
      <c r="C31" s="23" t="n">
        <v>3</v>
      </c>
      <c r="D31" s="24" t="n">
        <v>5847</v>
      </c>
    </row>
    <row r="32">
      <c r="A32" s="13" t="inlineStr">
        <is>
          <t>B. Базовый</t>
        </is>
      </c>
      <c r="B32" s="23" t="n">
        <v>20</v>
      </c>
      <c r="C32" s="23" t="n">
        <v>6</v>
      </c>
      <c r="D32" s="24" t="n">
        <v>11693</v>
      </c>
    </row>
    <row r="33">
      <c r="A33" s="13" t="inlineStr">
        <is>
          <t>C. Оптимистичный</t>
        </is>
      </c>
      <c r="B33" s="23" t="n">
        <v>30</v>
      </c>
      <c r="C33" s="23" t="n">
        <v>9</v>
      </c>
      <c r="D33" s="24" t="n">
        <v>17540</v>
      </c>
    </row>
  </sheetData>
  <mergeCells count="2">
    <mergeCell ref="A1:D1"/>
    <mergeCell ref="A29:D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8" customWidth="1" min="1" max="1"/>
    <col width="23" customWidth="1" min="2" max="2"/>
    <col width="35" customWidth="1" min="3" max="3"/>
    <col width="40" customWidth="1" min="4" max="4"/>
    <col width="24" customWidth="1" min="5" max="5"/>
    <col width="50" customWidth="1" min="6" max="6"/>
  </cols>
  <sheetData>
    <row r="1">
      <c r="A1" s="1" t="inlineStr">
        <is>
          <t>Эффекты сценария S3 (горизонт 12 месяцев)</t>
        </is>
      </c>
    </row>
    <row r="2" ht="35" customHeight="1">
      <c r="A2" s="3" t="inlineStr">
        <is>
          <t>Эффект</t>
        </is>
      </c>
      <c r="B2" s="3" t="inlineStr">
        <is>
          <t>Город / кластер</t>
        </is>
      </c>
      <c r="C2" s="3" t="inlineStr">
        <is>
          <t>База расчёта</t>
        </is>
      </c>
      <c r="D2" s="3" t="inlineStr">
        <is>
          <t>Параметр</t>
        </is>
      </c>
      <c r="E2" s="3" t="inlineStr">
        <is>
          <t>EBITDA-эффект, тыс. руб./год</t>
        </is>
      </c>
      <c r="F2" s="3" t="inlineStr">
        <is>
          <t>Источник</t>
        </is>
      </c>
    </row>
    <row r="3">
      <c r="A3" s="13" t="inlineStr">
        <is>
          <t>Эффект 1. R2 атака: прирост выручки</t>
        </is>
      </c>
      <c r="B3" s="13" t="inlineStr">
        <is>
          <t>СПб + Екб + Крд + Нск</t>
        </is>
      </c>
      <c r="C3" s="13" t="inlineStr">
        <is>
          <t>Выручка R2 2024: 1,544.2 млн</t>
        </is>
      </c>
      <c r="D3" s="16" t="inlineStr">
        <is>
          <t>+3 п.п. × EBITDA-маржа 25 %</t>
        </is>
      </c>
      <c r="E3" s="24" t="n">
        <v>11581</v>
      </c>
      <c r="F3" s="16">
        <f> 1544195 × 0,03 × 0,25 = 11,581</f>
        <v/>
      </c>
    </row>
    <row r="4">
      <c r="A4" s="13" t="inlineStr">
        <is>
          <t>Эффект 2. УПС-пилот Екатеринбург (EBITDA)</t>
        </is>
      </c>
      <c r="B4" s="13" t="inlineStr">
        <is>
          <t>Екатеринбург</t>
        </is>
      </c>
      <c r="C4" s="13" t="inlineStr">
        <is>
          <t>Парк 6448, утилизация 319</t>
        </is>
      </c>
      <c r="D4" s="16" t="inlineStr">
        <is>
          <t>3,5 (экономия) + 8,2 × 0,25 (маржа)</t>
        </is>
      </c>
      <c r="E4" s="24" t="n">
        <v>5554</v>
      </c>
      <c r="F4" s="16">
        <f> 3508 + 8186 × 0,25 ≈ 5554 тыс. руб.</f>
        <v/>
      </c>
    </row>
    <row r="5">
      <c r="A5" s="13" t="inlineStr">
        <is>
          <t>Эффект 3. R3 Москва: оптимизация OpEx</t>
        </is>
      </c>
      <c r="B5" s="13" t="inlineStr">
        <is>
          <t>Москва</t>
        </is>
      </c>
      <c r="C5" s="13" t="inlineStr">
        <is>
          <t>Выручка Москвы 2024: 2,626.4 млн</t>
        </is>
      </c>
      <c r="D5" s="16" t="inlineStr">
        <is>
          <t>2 % от выручки</t>
        </is>
      </c>
      <c r="E5" s="24" t="n">
        <v>52528</v>
      </c>
      <c r="F5" s="16">
        <f> 2626407 × 0,02 = 52,528</f>
        <v/>
      </c>
    </row>
    <row r="6">
      <c r="A6" s="13" t="inlineStr">
        <is>
          <t>Эффект 4. R1 малые города: экономия капвложений</t>
        </is>
      </c>
      <c r="B6" s="13" t="inlineStr">
        <is>
          <t>Малые города</t>
        </is>
      </c>
      <c r="C6" s="13" t="inlineStr">
        <is>
          <t>~10 млн капвложений, ~30 % EBITDA-вклад</t>
        </is>
      </c>
      <c r="D6" s="16" t="inlineStr">
        <is>
          <t>~30 % от 10 млн</t>
        </is>
      </c>
      <c r="E6" s="24" t="n">
        <v>3000</v>
      </c>
      <c r="F6" s="16" t="inlineStr">
        <is>
          <t>[ДОПУЩЕНИЕ]</t>
        </is>
      </c>
    </row>
    <row r="7">
      <c r="A7" s="10" t="inlineStr">
        <is>
          <t>ИТОГО эффект S3, год 1, тыс. руб.</t>
        </is>
      </c>
      <c r="E7" s="6" t="n">
        <v>72663</v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55" customWidth="1" min="1" max="1"/>
    <col width="20" customWidth="1" min="2" max="2"/>
    <col width="55" customWidth="1" min="3" max="3"/>
  </cols>
  <sheetData>
    <row r="1">
      <c r="A1" s="1" t="inlineStr">
        <is>
          <t>Сводная финансовая модель S3</t>
        </is>
      </c>
    </row>
    <row r="2">
      <c r="A2" s="25" t="inlineStr">
        <is>
          <t>Статья</t>
        </is>
      </c>
      <c r="B2" s="25" t="inlineStr">
        <is>
          <t>Млн руб.</t>
        </is>
      </c>
      <c r="C2" s="25" t="inlineStr">
        <is>
          <t>Источник</t>
        </is>
      </c>
    </row>
    <row r="3">
      <c r="A3" s="26" t="inlineStr">
        <is>
          <t>ГОД 1 (12 месяцев)</t>
        </is>
      </c>
      <c r="B3" s="20" t="n"/>
      <c r="C3" s="21" t="n"/>
    </row>
    <row r="4">
      <c r="A4" s="13" t="inlineStr">
        <is>
          <t>Затраты, всего</t>
        </is>
      </c>
      <c r="B4" s="27" t="n">
        <v>-47.8</v>
      </c>
      <c r="C4" s="16" t="inlineStr">
        <is>
          <t>Лист «Затраты», итого</t>
        </is>
      </c>
    </row>
    <row r="5">
      <c r="A5" s="13" t="inlineStr">
        <is>
          <t>Эффект 1. R2-прирост выручки</t>
        </is>
      </c>
      <c r="B5" s="28" t="n">
        <v>11.6</v>
      </c>
      <c r="C5" s="16" t="inlineStr">
        <is>
          <t>+3 п.п. × выручка R2 × 25 % маржа</t>
        </is>
      </c>
    </row>
    <row r="6">
      <c r="A6" s="13" t="inlineStr">
        <is>
          <t>Эффект 2. УПС-пилот (EBITDA)</t>
        </is>
      </c>
      <c r="B6" s="28" t="n">
        <v>5.6</v>
      </c>
      <c r="C6" s="16" t="inlineStr">
        <is>
          <t>§3.2; экономия 3,5 + доп.выручка × 0,25</t>
        </is>
      </c>
    </row>
    <row r="7">
      <c r="A7" s="13" t="inlineStr">
        <is>
          <t>Эффект 3. R3 Москва: оптимизация</t>
        </is>
      </c>
      <c r="B7" s="28" t="n">
        <v>52.5</v>
      </c>
      <c r="C7" s="16" t="inlineStr">
        <is>
          <t>2 % выручки Москвы</t>
        </is>
      </c>
    </row>
    <row r="8">
      <c r="A8" s="13" t="inlineStr">
        <is>
          <t>Эффект 4. R1 малые города</t>
        </is>
      </c>
      <c r="B8" s="28" t="n">
        <v>3</v>
      </c>
      <c r="C8" s="16" t="inlineStr">
        <is>
          <t>Экономия капвложений</t>
        </is>
      </c>
    </row>
    <row r="9">
      <c r="A9" s="10" t="inlineStr">
        <is>
          <t>Эффект, всего</t>
        </is>
      </c>
      <c r="B9" s="29" t="n">
        <v>72.7</v>
      </c>
    </row>
    <row r="10" ht="25" customHeight="1">
      <c r="A10" s="30" t="inlineStr">
        <is>
          <t>ЧИСТЫЙ ЭФФЕКТ S3 vs S1, год 1</t>
        </is>
      </c>
      <c r="B10" s="31" t="n">
        <v>24.9</v>
      </c>
    </row>
    <row r="13">
      <c r="A13" s="26" t="inlineStr">
        <is>
          <t>ГОД 2 (тиражирование УПС на 4 R2-города; capex выпадает)</t>
        </is>
      </c>
      <c r="B13" s="20" t="n"/>
      <c r="C13" s="21" t="n"/>
    </row>
    <row r="14">
      <c r="A14" s="13" t="inlineStr">
        <is>
          <t>Затраты год 2</t>
        </is>
      </c>
      <c r="B14" s="27" t="n">
        <v>-37</v>
      </c>
      <c r="C14" s="16" t="inlineStr">
        <is>
          <t>A + B + D + операционная C, без capex</t>
        </is>
      </c>
    </row>
    <row r="15">
      <c r="A15" s="13" t="inlineStr">
        <is>
          <t>Эффект 1 расширенный (+5 п.п.)</t>
        </is>
      </c>
      <c r="B15" s="28" t="n">
        <v>19.3</v>
      </c>
      <c r="C15" s="16" t="inlineStr">
        <is>
          <t>+5 п.п. × выручка R2 × 25 %</t>
        </is>
      </c>
    </row>
    <row r="16">
      <c r="A16" s="13" t="inlineStr">
        <is>
          <t>Эффект 2 (УПС в 4 городах R2)</t>
        </is>
      </c>
      <c r="B16" s="28" t="n">
        <v>40</v>
      </c>
      <c r="C16" s="16" t="inlineStr">
        <is>
          <t>Коэф. 3,0 млн EBITDA / 1 млн поездок × 13 млн сез. поездок</t>
        </is>
      </c>
    </row>
    <row r="17">
      <c r="A17" s="13" t="inlineStr">
        <is>
          <t>Эффект 3 (R3 Москва, год 2)</t>
        </is>
      </c>
      <c r="B17" s="28" t="n">
        <v>55</v>
      </c>
      <c r="C17" s="16" t="inlineStr">
        <is>
          <t>Углубление оптимизации до 2,1 %</t>
        </is>
      </c>
    </row>
    <row r="18">
      <c r="A18" s="13" t="inlineStr">
        <is>
          <t>Эффект 4 (R1 малые)</t>
        </is>
      </c>
      <c r="B18" s="28" t="n">
        <v>5</v>
      </c>
      <c r="C18" s="16" t="inlineStr">
        <is>
          <t>Расширение каркаса</t>
        </is>
      </c>
    </row>
    <row r="19" ht="25" customHeight="1">
      <c r="A19" s="30" t="inlineStr">
        <is>
          <t>ЧИСТЫЙ ЭФФЕКТ S3 vs S1, год 2</t>
        </is>
      </c>
      <c r="B19" s="31" t="n">
        <v>82.3</v>
      </c>
    </row>
  </sheetData>
  <mergeCells count="3">
    <mergeCell ref="A1:C1"/>
    <mergeCell ref="A13:C13"/>
    <mergeCell ref="A3:C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50" customWidth="1" min="5" max="5"/>
  </cols>
  <sheetData>
    <row r="1">
      <c r="A1" s="1" t="inlineStr">
        <is>
          <t>Сценарии чувствительности чистого эффекта S3 (год 1)</t>
        </is>
      </c>
    </row>
    <row r="2">
      <c r="A2" s="25" t="inlineStr">
        <is>
          <t>Параметр</t>
        </is>
      </c>
      <c r="B2" s="25" t="inlineStr">
        <is>
          <t>Консерв.</t>
        </is>
      </c>
      <c r="C2" s="25" t="inlineStr">
        <is>
          <t>Базовый</t>
        </is>
      </c>
      <c r="D2" s="25" t="inlineStr">
        <is>
          <t>Оптим.</t>
        </is>
      </c>
      <c r="E2" s="25" t="inlineStr">
        <is>
          <t>Комментарий</t>
        </is>
      </c>
    </row>
    <row r="3">
      <c r="A3" s="13" t="inlineStr">
        <is>
          <t>Прирост темпа R2 выручки, п.п.</t>
        </is>
      </c>
      <c r="B3" s="32" t="n">
        <v>1</v>
      </c>
      <c r="C3" s="11" t="n">
        <v>3</v>
      </c>
      <c r="D3" s="32" t="n">
        <v>5</v>
      </c>
      <c r="E3" s="16" t="inlineStr">
        <is>
          <t>Сила эффекта дифференциации</t>
        </is>
      </c>
    </row>
    <row r="4">
      <c r="A4" s="13" t="inlineStr">
        <is>
          <t>Замещение ребалансировки УПС, %</t>
        </is>
      </c>
      <c r="B4" s="32" t="n">
        <v>10</v>
      </c>
      <c r="C4" s="11" t="n">
        <v>20</v>
      </c>
      <c r="D4" s="32" t="n">
        <v>30</v>
      </c>
      <c r="E4" s="16" t="inlineStr">
        <is>
          <t>Сценарии A/B/C из §3.2</t>
        </is>
      </c>
    </row>
    <row r="5">
      <c r="A5" s="13" t="inlineStr">
        <is>
          <t>Прирост восст. поездок УПС, %</t>
        </is>
      </c>
      <c r="B5" s="32" t="n">
        <v>3</v>
      </c>
      <c r="C5" s="11" t="n">
        <v>6</v>
      </c>
      <c r="D5" s="32" t="n">
        <v>9</v>
      </c>
      <c r="E5" s="16" t="inlineStr">
        <is>
          <t>Доля чувствительных микролокаций</t>
        </is>
      </c>
    </row>
    <row r="6">
      <c r="A6" s="13" t="inlineStr">
        <is>
          <t>Оптимизация OpEx Москвы, %</t>
        </is>
      </c>
      <c r="B6" s="32" t="n">
        <v>1</v>
      </c>
      <c r="C6" s="11" t="n">
        <v>2</v>
      </c>
      <c r="D6" s="32" t="n">
        <v>3</v>
      </c>
      <c r="E6" s="16" t="inlineStr">
        <is>
          <t>Глубина рычагов R3</t>
        </is>
      </c>
    </row>
    <row r="7">
      <c r="A7" s="13" t="inlineStr">
        <is>
          <t>Экономия капвложений малые города, млн</t>
        </is>
      </c>
      <c r="B7" s="32" t="n">
        <v>5</v>
      </c>
      <c r="C7" s="11" t="n">
        <v>10</v>
      </c>
      <c r="D7" s="32" t="n">
        <v>20</v>
      </c>
      <c r="E7" s="16" t="inlineStr">
        <is>
          <t>Темпы расширения портфеля</t>
        </is>
      </c>
    </row>
    <row r="9">
      <c r="A9" s="19" t="inlineStr">
        <is>
          <t>Производные эффекты, млн руб.</t>
        </is>
      </c>
      <c r="B9" s="20" t="n"/>
      <c r="C9" s="20" t="n"/>
      <c r="D9" s="20" t="n"/>
      <c r="E9" s="21" t="n"/>
    </row>
    <row r="10">
      <c r="A10" s="13" t="inlineStr">
        <is>
          <t>Эффект 1 (R2 темпы)</t>
        </is>
      </c>
      <c r="B10" s="33" t="n">
        <v>3.9</v>
      </c>
      <c r="C10" s="34" t="n">
        <v>11.6</v>
      </c>
      <c r="D10" s="33" t="n">
        <v>19.3</v>
      </c>
    </row>
    <row r="11">
      <c r="A11" s="13" t="inlineStr">
        <is>
          <t>Эффект 2 (УПС-пилот EBITDA)</t>
        </is>
      </c>
      <c r="B11" s="33" t="n">
        <v>2.8</v>
      </c>
      <c r="C11" s="34" t="n">
        <v>5.6</v>
      </c>
      <c r="D11" s="33" t="n">
        <v>8.300000000000001</v>
      </c>
    </row>
    <row r="12">
      <c r="A12" s="13" t="inlineStr">
        <is>
          <t>Эффект 3 (R3 Москва)</t>
        </is>
      </c>
      <c r="B12" s="33" t="n">
        <v>26.3</v>
      </c>
      <c r="C12" s="34" t="n">
        <v>52.5</v>
      </c>
      <c r="D12" s="33" t="n">
        <v>78.8</v>
      </c>
    </row>
    <row r="13">
      <c r="A13" s="13" t="inlineStr">
        <is>
          <t>Эффект 4 (R1 малые)</t>
        </is>
      </c>
      <c r="B13" s="33" t="n">
        <v>1.5</v>
      </c>
      <c r="C13" s="34" t="n">
        <v>3</v>
      </c>
      <c r="D13" s="33" t="n">
        <v>6</v>
      </c>
    </row>
    <row r="14">
      <c r="A14" s="13" t="inlineStr">
        <is>
          <t>Затраты S3</t>
        </is>
      </c>
      <c r="B14" s="33" t="n">
        <v>-48</v>
      </c>
      <c r="C14" s="34" t="n">
        <v>-48</v>
      </c>
      <c r="D14" s="33" t="n">
        <v>-48</v>
      </c>
    </row>
    <row r="15" ht="25" customHeight="1">
      <c r="A15" s="30" t="inlineStr">
        <is>
          <t>ЧИСТЫЙ ЭФФЕКТ S3, год 1, млн руб.</t>
        </is>
      </c>
      <c r="B15" s="31" t="n">
        <v>-13.5</v>
      </c>
      <c r="C15" s="31" t="n">
        <v>24.7</v>
      </c>
      <c r="D15" s="31" t="n">
        <v>64.40000000000001</v>
      </c>
    </row>
  </sheetData>
  <mergeCells count="2">
    <mergeCell ref="A1:E1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2026-05-19T13:08:10Z</dcterms:created>
  <dcterms:modified xmlns:dcterms="http://purl.org/dc/terms/" xmlns:xsi="http://www.w3.org/2001/XMLSchema-instance" xsi:type="dcterms:W3CDTF">2026-05-19T13:08:10Z</dcterms:modified>
</cp:coreProperties>
</file>